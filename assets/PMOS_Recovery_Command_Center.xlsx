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Exec Dashboard" sheetId="1" state="visible" r:id="rId3"/>
    <sheet name="★ Project Atlas (example)" sheetId="2" state="visible" r:id="rId4"/>
    <sheet name="2·RAID Register" sheetId="3" state="visible" r:id="rId5"/>
    <sheet name="3·Decision Log" sheetId="4" state="visible" r:id="rId6"/>
    <sheet name="4·Recovery Actions" sheetId="5" state="visible" r:id="rId7"/>
    <sheet name="5·Go-Live Readiness" sheetId="6" state="visible" r:id="rId8"/>
    <sheet name="6·Stakeholder Heatmap" sheetId="7" state="visible" r:id="rId9"/>
    <sheet name="7·Steering Pack" sheetId="8" state="visible" r:id="rId10"/>
    <sheet name="8·Financial Exposure" sheetId="9" state="visible" r:id="rId11"/>
    <sheet name="9·Pattern Dashboard" sheetId="10" state="visible" r:id="rId12"/>
  </sheets>
  <definedNames>
    <definedName function="false" hidden="true" localSheetId="2" name="_xlnm._FilterDatabase" vbProcedure="false">'2·RAID Register'!$B$5:$K$29</definedName>
    <definedName function="false" hidden="true" localSheetId="3" name="_xlnm._FilterDatabase" vbProcedure="false">'3·Decision Log'!$B$5:$K$25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<sst xmlns="http://schemas.openxmlformats.org/spreadsheetml/2006/main" count="566" uniqueCount="428">
  <si>
    <t xml:space="preserve">PMOS™ RECOVERY COMMAND CENTER</t>
  </si>
  <si>
    <t xml:space="preserve">Executive Dashboard · live program health, recovery progress &amp; financial exposure · figures auto-calculated from all tabs</t>
  </si>
  <si>
    <t xml:space="preserve">Program</t>
  </si>
  <si>
    <t xml:space="preserve">Project Atlas — SAP S/4HANA</t>
  </si>
  <si>
    <t xml:space="preserve">Report date</t>
  </si>
  <si>
    <t xml:space="preserve">Program Manager</t>
  </si>
  <si>
    <t xml:space="preserve">K. Rawat</t>
  </si>
  <si>
    <t xml:space="preserve">Go-live target</t>
  </si>
  <si>
    <t xml:space="preserve">2026-09-30</t>
  </si>
  <si>
    <t xml:space="preserve">PROGRAM HEALTH AT A GLANCE</t>
  </si>
  <si>
    <t xml:space="preserve">PMOS HEALTH (0–100)</t>
  </si>
  <si>
    <t xml:space="preserve">RECOVERY SCORE</t>
  </si>
  <si>
    <t xml:space="preserve">GO-LIVE READINESS</t>
  </si>
  <si>
    <t xml:space="preserve">FINANCIAL EXPOSURE</t>
  </si>
  <si>
    <t xml:space="preserve">OPEN CRITICAL RISKS</t>
  </si>
  <si>
    <t xml:space="preserve">OVERDUE DECISIONS</t>
  </si>
  <si>
    <t xml:space="preserve">KPI TREND  —  LAST 4 WEEKS</t>
  </si>
  <si>
    <t xml:space="preserve">KPI</t>
  </si>
  <si>
    <t xml:space="preserve">W-3</t>
  </si>
  <si>
    <t xml:space="preserve">W-2</t>
  </si>
  <si>
    <t xml:space="preserve">W-1</t>
  </si>
  <si>
    <t xml:space="preserve">Now</t>
  </si>
  <si>
    <t xml:space="preserve">Trend</t>
  </si>
  <si>
    <t xml:space="preserve">PMOS Health</t>
  </si>
  <si>
    <t xml:space="preserve">Open Risks</t>
  </si>
  <si>
    <t xml:space="preserve">Open Decisions</t>
  </si>
  <si>
    <t xml:space="preserve">Recovery %</t>
  </si>
  <si>
    <t xml:space="preserve">Conventions</t>
  </si>
  <si>
    <t xml:space="preserve">Blue = your inputs · Black = formulas · Green = links from other tabs. Update blue cells; everything else recalculates.</t>
  </si>
  <si>
    <t xml:space="preserve">PROJECT ATLAS — A REAL ERP RECOVERY, START TO FINISH</t>
  </si>
  <si>
    <t xml:space="preserve">This worked example shows how an experienced recovery lead used the Command Center across 90 days. Names are anonymised; the pattern is real. Read it as 'what a consultant would actually do' — then apply the same moves to your own program in the other tabs.</t>
  </si>
  <si>
    <t xml:space="preserve">WEEK 0 — THE SITUATION WE INHERITED</t>
  </si>
  <si>
    <t xml:space="preserve">Atlas is a $15M SAP S/4HANA finance &amp; supply-chain transformation, 11 weeks from a hard go-live tied to a fiscal year-end. On paper: RAG amber, 78% 'complete'. In reality: the date was going to be missed and nobody had said so out loud.</t>
  </si>
  <si>
    <t xml:space="preserve">The PMOS diagnostic scored the program at composite health 21/100 — bottom quartile. Four of the five behavioral patterns were critical or elevated. This is what those scores meant in practice:</t>
  </si>
  <si>
    <t xml:space="preserve">STARTING BEHAVIORAL STATE  (Week 0)</t>
  </si>
  <si>
    <t xml:space="preserve">Pattern</t>
  </si>
  <si>
    <t xml:space="preserve">Score</t>
  </si>
  <si>
    <t xml:space="preserve">What it looked like on Atlas</t>
  </si>
  <si>
    <t xml:space="preserve">Hero Dependency™</t>
  </si>
  <si>
    <t xml:space="preserve">95</t>
  </si>
  <si>
    <t xml:space="preserve">Two consultants held all the middleware and pricing-config knowledge. Neither had taken leave in 4 months.</t>
  </si>
  <si>
    <t xml:space="preserve">Death By Governance™</t>
  </si>
  <si>
    <t xml:space="preserve">88</t>
  </si>
  <si>
    <t xml:space="preserve">Six standing forums. A change took 4 sign-offs and 3 weeks to clear.</t>
  </si>
  <si>
    <t xml:space="preserve">Nobody Wants To Decide™</t>
  </si>
  <si>
    <t xml:space="preserve">85</t>
  </si>
  <si>
    <t xml:space="preserve">The chart-of-accounts decision had been 're-discussed' in 7 meetings across 6 weeks.</t>
  </si>
  <si>
    <t xml:space="preserve">Silent Resistance™</t>
  </si>
  <si>
    <t xml:space="preserve">70</t>
  </si>
  <si>
    <t xml:space="preserve">Finance still ran a parallel spreadsheet 'just in case'. Adoption was theatre.</t>
  </si>
  <si>
    <t xml:space="preserve">Builder Culture™</t>
  </si>
  <si>
    <t xml:space="preserve">30</t>
  </si>
  <si>
    <t xml:space="preserve">Problems were escalated, not solved. The team waited to be told.</t>
  </si>
  <si>
    <t xml:space="preserve">WHAT THE RECOVERY LEAD ACTUALLY DID  (the first move matters most)</t>
  </si>
  <si>
    <t xml:space="preserve">Week 1</t>
  </si>
  <si>
    <t xml:space="preserve">Did NOT build a new plan. Opened the RAID and Decision tabs and made the invisible visible: 14 open risks, 9 stuck decisions, one of them blocking cutover. Booked a 45-minute sponsor session — not a status update, a contracting conversation.</t>
  </si>
  <si>
    <t xml:space="preserve">Killed one of the six forums on the spot. Publicly. It had produced no decision in a month. This single act signalled that the recovery was real and reclaimed ~8 person-days a week.</t>
  </si>
  <si>
    <t xml:space="preserve">Week 2</t>
  </si>
  <si>
    <t xml:space="preserve">Mapped the hero load. Named a backup for each single-point-of-failure consultant and started a runbook. The bus-factor risk (R2) moved from 'invisible' to 'being actively closed'.</t>
  </si>
  <si>
    <t xml:space="preserve">Put one named owner and a deadline on every open decision. The chart-of-accounts decision that had circulated for 6 weeks was closed in 4 days once a single person owned it.</t>
  </si>
  <si>
    <t xml:space="preserve">Week 4</t>
  </si>
  <si>
    <t xml:space="preserve">Ran the first mock cutover. It failed — which was the point. Better to fail a rehearsal in week 4 than the real thing on go-live night. Eleven gaps logged and owned.</t>
  </si>
  <si>
    <t xml:space="preserve">Week 6-8</t>
  </si>
  <si>
    <t xml:space="preserve">Converted two resistant finance leads by giving them a visible quick win, not a training session. The parallel spreadsheet started to disappear on its own.</t>
  </si>
  <si>
    <t xml:space="preserve">WHERE ATLAS LANDED  (Day 90)</t>
  </si>
  <si>
    <t xml:space="preserve">Measure</t>
  </si>
  <si>
    <t xml:space="preserve">Week 0</t>
  </si>
  <si>
    <t xml:space="preserve">Day 30</t>
  </si>
  <si>
    <t xml:space="preserve">Day 60</t>
  </si>
  <si>
    <t xml:space="preserve">Day 90</t>
  </si>
  <si>
    <t xml:space="preserve">PMOS composite health</t>
  </si>
  <si>
    <t xml:space="preserve">21</t>
  </si>
  <si>
    <t xml:space="preserve">34</t>
  </si>
  <si>
    <t xml:space="preserve">58</t>
  </si>
  <si>
    <t xml:space="preserve">79</t>
  </si>
  <si>
    <t xml:space="preserve">Open critical risks</t>
  </si>
  <si>
    <t xml:space="preserve">9</t>
  </si>
  <si>
    <t xml:space="preserve">8</t>
  </si>
  <si>
    <t xml:space="preserve">4</t>
  </si>
  <si>
    <t xml:space="preserve">2</t>
  </si>
  <si>
    <t xml:space="preserve">Stuck decisions</t>
  </si>
  <si>
    <t xml:space="preserve">5</t>
  </si>
  <si>
    <t xml:space="preserve">0</t>
  </si>
  <si>
    <t xml:space="preserve">Go-live readiness</t>
  </si>
  <si>
    <t xml:space="preserve">31%</t>
  </si>
  <si>
    <t xml:space="preserve">45%</t>
  </si>
  <si>
    <t xml:space="preserve">68%</t>
  </si>
  <si>
    <t xml:space="preserve">88%</t>
  </si>
  <si>
    <t xml:space="preserve">Hero Dependency score</t>
  </si>
  <si>
    <t xml:space="preserve">80</t>
  </si>
  <si>
    <t xml:space="preserve">55</t>
  </si>
  <si>
    <t xml:space="preserve">40</t>
  </si>
  <si>
    <t xml:space="preserve">Adoption (finance)</t>
  </si>
  <si>
    <t xml:space="preserve">35%</t>
  </si>
  <si>
    <t xml:space="preserve">42%</t>
  </si>
  <si>
    <t xml:space="preserve">61%</t>
  </si>
  <si>
    <t xml:space="preserve">84%</t>
  </si>
  <si>
    <t xml:space="preserve">THE LESSON</t>
  </si>
  <si>
    <t xml:space="preserve">Atlas did not recover because someone wrote a better plan. It recovered because the recovery lead made the behavioral problems visible, put single owners on decisions, broke the hero dependency, and killed governance that cost more than it protected — in that order, in the first two weeks. The Command Center is the instrument that made each of those moves trackable. Go-live happened 3 weeks later than the original date, on a date the business chose deliberately — not one it was forced into.</t>
  </si>
  <si>
    <t xml:space="preserve">Your turn: the other tabs are pre-loaded with Atlas data so you can see a live example. Clear them and enter your own program, or use Atlas as the template for the moves that work.</t>
  </si>
  <si>
    <t xml:space="preserve">RAID REGISTER</t>
  </si>
  <si>
    <t xml:space="preserve">Risks · Assumptions · Issues · Dependencies — Priority auto-calculates from Likelihood × Impact. Worked examples shown; replace with your own.</t>
  </si>
  <si>
    <t xml:space="preserve">How to use</t>
  </si>
  <si>
    <t xml:space="preserve">One row per item. Set Type, Likelihood, Impact via the dropdowns — Priority colours automatically. Filter by clicking the header row.</t>
  </si>
  <si>
    <t xml:space="preserve">ID</t>
  </si>
  <si>
    <t xml:space="preserve">Type</t>
  </si>
  <si>
    <t xml:space="preserve">Description</t>
  </si>
  <si>
    <t xml:space="preserve">Likelihood</t>
  </si>
  <si>
    <t xml:space="preserve">Impact</t>
  </si>
  <si>
    <t xml:space="preserve">Priority</t>
  </si>
  <si>
    <t xml:space="preserve">Status</t>
  </si>
  <si>
    <t xml:space="preserve">Owner</t>
  </si>
  <si>
    <t xml:space="preserve">Mitigation / Action</t>
  </si>
  <si>
    <t xml:space="preserve">Due</t>
  </si>
  <si>
    <t xml:space="preserve">PMOS Pattern</t>
  </si>
  <si>
    <t xml:space="preserve">rank</t>
  </si>
  <si>
    <t xml:space="preserve">R1</t>
  </si>
  <si>
    <t xml:space="preserve">Risk</t>
  </si>
  <si>
    <t xml:space="preserve">Data migration: legacy vendor master has 18% duplicate records; cleansing not started</t>
  </si>
  <si>
    <t xml:space="preserve">High</t>
  </si>
  <si>
    <t xml:space="preserve">Critical</t>
  </si>
  <si>
    <t xml:space="preserve">Open</t>
  </si>
  <si>
    <t xml:space="preserve">Data Lead</t>
  </si>
  <si>
    <t xml:space="preserve">Stand up cleansing squad; freeze new vendor creation</t>
  </si>
  <si>
    <t xml:space="preserve">2026-07-15</t>
  </si>
  <si>
    <t xml:space="preserve">Silent Resistance</t>
  </si>
  <si>
    <t xml:space="preserve">R2</t>
  </si>
  <si>
    <t xml:space="preserve">Only one consultant understands pricing-condition config (Hero Dependency)</t>
  </si>
  <si>
    <t xml:space="preserve">PgM</t>
  </si>
  <si>
    <t xml:space="preserve">Pair a second resource; document config by 30 Jul</t>
  </si>
  <si>
    <t xml:space="preserve">2026-07-30</t>
  </si>
  <si>
    <t xml:space="preserve">Hero Dependency</t>
  </si>
  <si>
    <t xml:space="preserve">R3</t>
  </si>
  <si>
    <t xml:space="preserve">UAT environment unstable; 40% of test cycles lost to downtime</t>
  </si>
  <si>
    <t xml:space="preserve">Medium</t>
  </si>
  <si>
    <t xml:space="preserve">Infra Lead</t>
  </si>
  <si>
    <t xml:space="preserve">Escalate to vendor; secure dedicated UAT instance</t>
  </si>
  <si>
    <t xml:space="preserve">2026-07-10</t>
  </si>
  <si>
    <t xml:space="preserve">Death By Governance</t>
  </si>
  <si>
    <t xml:space="preserve">A1</t>
  </si>
  <si>
    <t xml:space="preserve">Assumption</t>
  </si>
  <si>
    <t xml:space="preserve">Business frees 6 SMEs full-time for UAT — not yet confirmed by sponsor</t>
  </si>
  <si>
    <t xml:space="preserve">Sponsor</t>
  </si>
  <si>
    <t xml:space="preserve">Confirm SME release at next steering</t>
  </si>
  <si>
    <t xml:space="preserve">2026-07-05</t>
  </si>
  <si>
    <t xml:space="preserve">Nobody Wants To Decide</t>
  </si>
  <si>
    <t xml:space="preserve">A2</t>
  </si>
  <si>
    <t xml:space="preserve">Legacy system stays live through hypercare (no early decommission)</t>
  </si>
  <si>
    <t xml:space="preserve">Low</t>
  </si>
  <si>
    <t xml:space="preserve">IT Director</t>
  </si>
  <si>
    <t xml:space="preserve">Validate decommission date in cutover plan</t>
  </si>
  <si>
    <t xml:space="preserve">2026-08-01</t>
  </si>
  <si>
    <t xml:space="preserve">I1</t>
  </si>
  <si>
    <t xml:space="preserve">Issue</t>
  </si>
  <si>
    <t xml:space="preserve">Bank payment-gateway integration failing in SIT — 3 weeks open</t>
  </si>
  <si>
    <t xml:space="preserve">Integration Lead</t>
  </si>
  <si>
    <t xml:space="preserve">Joint war-room with vendor; daily standup</t>
  </si>
  <si>
    <t xml:space="preserve">2026-07-08</t>
  </si>
  <si>
    <t xml:space="preserve">I2</t>
  </si>
  <si>
    <t xml:space="preserve">Steering has not closed chart-of-accounts decision (blocks 4 streams)</t>
  </si>
  <si>
    <t xml:space="preserve">CFO</t>
  </si>
  <si>
    <t xml:space="preserve">Force decision via escalation pack</t>
  </si>
  <si>
    <t xml:space="preserve">2026-07-04</t>
  </si>
  <si>
    <t xml:space="preserve">D1</t>
  </si>
  <si>
    <t xml:space="preserve">Dependency</t>
  </si>
  <si>
    <t xml:space="preserve">GL config depends on finalised chart of accounts (see I2)</t>
  </si>
  <si>
    <t xml:space="preserve">Finance Lead</t>
  </si>
  <si>
    <t xml:space="preserve">Blocked until I2 closed</t>
  </si>
  <si>
    <t xml:space="preserve">D2</t>
  </si>
  <si>
    <t xml:space="preserve">Cutover rehearsal depends on stable UAT (see R3)</t>
  </si>
  <si>
    <t xml:space="preserve">Cutover Lead</t>
  </si>
  <si>
    <t xml:space="preserve">Sequenced after R3 resolved</t>
  </si>
  <si>
    <t xml:space="preserve">2026-08-15</t>
  </si>
  <si>
    <t xml:space="preserve">DECISION LOG</t>
  </si>
  <si>
    <t xml:space="preserve">Every decision has ONE named owner and a date. Aging &amp; overdue flags auto-calculate. 'Nobody Wants To Decide' dies here.</t>
  </si>
  <si>
    <t xml:space="preserve">Decision velocity</t>
  </si>
  <si>
    <t xml:space="preserve">Open decisions</t>
  </si>
  <si>
    <t xml:space="preserve">Overdue</t>
  </si>
  <si>
    <t xml:space="preserve">Decision required</t>
  </si>
  <si>
    <t xml:space="preserve">Owner (one name)</t>
  </si>
  <si>
    <t xml:space="preserve">Raised</t>
  </si>
  <si>
    <t xml:space="preserve">Needed by</t>
  </si>
  <si>
    <t xml:space="preserve">Decision made</t>
  </si>
  <si>
    <t xml:space="preserve">Decided on</t>
  </si>
  <si>
    <t xml:space="preserve">Days to close</t>
  </si>
  <si>
    <t xml:space="preserve">Aging flag</t>
  </si>
  <si>
    <t xml:space="preserve">Chart of accounts structure (4-segment vs 6)</t>
  </si>
  <si>
    <t xml:space="preserve">2026-06-01</t>
  </si>
  <si>
    <t xml:space="preserve">2026-06-20</t>
  </si>
  <si>
    <t xml:space="preserve">Single global template vs country localisation</t>
  </si>
  <si>
    <t xml:space="preserve">2026-06-05</t>
  </si>
  <si>
    <t xml:space="preserve">2026-06-25</t>
  </si>
  <si>
    <t xml:space="preserve">D3</t>
  </si>
  <si>
    <t xml:space="preserve">Go / no-go criteria for cutover</t>
  </si>
  <si>
    <t xml:space="preserve">Steering</t>
  </si>
  <si>
    <t xml:space="preserve">2026-06-10</t>
  </si>
  <si>
    <t xml:space="preserve">D4</t>
  </si>
  <si>
    <t xml:space="preserve">Hypercare staffing model &amp; duration</t>
  </si>
  <si>
    <t xml:space="preserve">2026-05-20</t>
  </si>
  <si>
    <t xml:space="preserve">Hybrid: 4 wks onsite + 8 wks remote</t>
  </si>
  <si>
    <t xml:space="preserve">2026-06-08</t>
  </si>
  <si>
    <t xml:space="preserve">Closed</t>
  </si>
  <si>
    <t xml:space="preserve">D5</t>
  </si>
  <si>
    <t xml:space="preserve">Data archival policy for legacy records</t>
  </si>
  <si>
    <t xml:space="preserve">2026-05-15</t>
  </si>
  <si>
    <t xml:space="preserve">Archive 7 yrs, then purge</t>
  </si>
  <si>
    <t xml:space="preserve">2026-06-03</t>
  </si>
  <si>
    <t xml:space="preserve">RECOVERY ENGINE  —  IMMEDIATE / 30 / 60 / 90 DAY PLAN</t>
  </si>
  <si>
    <t xml:space="preserve">A phased recovery system. Each action has an owner, a dependency, a success metric, a RAG status and an expected PMOS-score improvement. Progress rolls up to the Executive Dashboard.</t>
  </si>
  <si>
    <t xml:space="preserve">Recovery score</t>
  </si>
  <si>
    <t xml:space="preserve">Expected health lift</t>
  </si>
  <si>
    <t xml:space="preserve">pts</t>
  </si>
  <si>
    <t xml:space="preserve">Actions done</t>
  </si>
  <si>
    <t xml:space="preserve">Action</t>
  </si>
  <si>
    <t xml:space="preserve">RAG</t>
  </si>
  <si>
    <t xml:space="preserve">Success metric</t>
  </si>
  <si>
    <t xml:space="preserve">Progress</t>
  </si>
  <si>
    <t xml:space="preserve">Δ Health</t>
  </si>
  <si>
    <t xml:space="preserve">PHASE ROLLUP</t>
  </si>
  <si>
    <t xml:space="preserve">IMMEDIATE  —  first 7 days  ·  stop the bleeding</t>
  </si>
  <si>
    <t xml:space="preserve">Phase</t>
  </si>
  <si>
    <t xml:space="preserve">% complete</t>
  </si>
  <si>
    <t xml:space="preserve">Δ health</t>
  </si>
  <si>
    <t xml:space="preserve">Freeze scope; stand up a single change-control gate</t>
  </si>
  <si>
    <t xml:space="preserve">Sponsor mandate</t>
  </si>
  <si>
    <t xml:space="preserve">Zero ungoverned changes in week 1</t>
  </si>
  <si>
    <t xml:space="preserve">Immediate</t>
  </si>
  <si>
    <t xml:space="preserve">Name a backup for every single-point-of-failure person</t>
  </si>
  <si>
    <t xml:space="preserve">Delivery Mgr</t>
  </si>
  <si>
    <t xml:space="preserve">Hero map complete</t>
  </si>
  <si>
    <t xml:space="preserve">2026-07-06</t>
  </si>
  <si>
    <t xml:space="preserve">Every critical role has 2 names</t>
  </si>
  <si>
    <t xml:space="preserve">30 days</t>
  </si>
  <si>
    <t xml:space="preserve">I3</t>
  </si>
  <si>
    <t xml:space="preserve">Book the sponsor decision slot (weekly, 45 min)</t>
  </si>
  <si>
    <t xml:space="preserve">Sponsor calendar</t>
  </si>
  <si>
    <t xml:space="preserve">Slot in calendar, first one held</t>
  </si>
  <si>
    <t xml:space="preserve">60 days</t>
  </si>
  <si>
    <t xml:space="preserve">I4</t>
  </si>
  <si>
    <t xml:space="preserve">Kill one recurring forum that produced no decision</t>
  </si>
  <si>
    <t xml:space="preserve">PMO Lead</t>
  </si>
  <si>
    <t xml:space="preserve">Governance review</t>
  </si>
  <si>
    <t xml:space="preserve">1 forum cancelled, capacity freed</t>
  </si>
  <si>
    <t xml:space="preserve">90 days</t>
  </si>
  <si>
    <t xml:space="preserve">30 DAYS  —  stabilise  ·  rebuild control</t>
  </si>
  <si>
    <t xml:space="preserve">Pair a 2nd resource on pricing config; document runbook</t>
  </si>
  <si>
    <t xml:space="preserve">I2 done</t>
  </si>
  <si>
    <t xml:space="preserve">Runbook signed off; bus-factor ≥2</t>
  </si>
  <si>
    <t xml:space="preserve">Cut approval chains to max 2 signatures</t>
  </si>
  <si>
    <t xml:space="preserve">2026-07-20</t>
  </si>
  <si>
    <t xml:space="preserve">No path needs &gt;2 sign-offs</t>
  </si>
  <si>
    <t xml:space="preserve">Publish decision log; force the COA decision</t>
  </si>
  <si>
    <t xml:space="preserve">CFO office</t>
  </si>
  <si>
    <t xml:space="preserve">I3 done</t>
  </si>
  <si>
    <t xml:space="preserve">2026-07-12</t>
  </si>
  <si>
    <t xml:space="preserve">COA decided; log live &amp; public</t>
  </si>
  <si>
    <t xml:space="preserve">Vendor master data cleansing squad live</t>
  </si>
  <si>
    <t xml:space="preserve">Resource approved</t>
  </si>
  <si>
    <t xml:space="preserve">Duplicate rate &lt;2%</t>
  </si>
  <si>
    <t xml:space="preserve">60 DAYS  —  recover  ·  prove the fix</t>
  </si>
  <si>
    <t xml:space="preserve">S1</t>
  </si>
  <si>
    <t xml:space="preserve">Dedicated UAT instance; defect closure &gt;90%</t>
  </si>
  <si>
    <t xml:space="preserve">D4 underway</t>
  </si>
  <si>
    <t xml:space="preserve">Defect closure rate &gt;90%</t>
  </si>
  <si>
    <t xml:space="preserve">S2</t>
  </si>
  <si>
    <t xml:space="preserve">Stakeholder recovery plan for resistant teams</t>
  </si>
  <si>
    <t xml:space="preserve">Change Lead</t>
  </si>
  <si>
    <t xml:space="preserve">Heatmap complete</t>
  </si>
  <si>
    <t xml:space="preserve">2026-08-20</t>
  </si>
  <si>
    <t xml:space="preserve">2 resistant groups → passive/champion</t>
  </si>
  <si>
    <t xml:space="preserve">S3</t>
  </si>
  <si>
    <t xml:space="preserve">Mock cutover rehearsal #1 end-to-end</t>
  </si>
  <si>
    <t xml:space="preserve">Cutover Mgr</t>
  </si>
  <si>
    <t xml:space="preserve">Data migration ready</t>
  </si>
  <si>
    <t xml:space="preserve">2026-08-25</t>
  </si>
  <si>
    <t xml:space="preserve">Rehearsal run; gaps logged</t>
  </si>
  <si>
    <t xml:space="preserve">90 DAYS  —  sustain  ·  lock in builder behaviours</t>
  </si>
  <si>
    <t xml:space="preserve">N1</t>
  </si>
  <si>
    <t xml:space="preserve">Go/no-go criteria &amp; owner agreed and signed</t>
  </si>
  <si>
    <t xml:space="preserve">S3 done</t>
  </si>
  <si>
    <t xml:space="preserve">2026-09-10</t>
  </si>
  <si>
    <t xml:space="preserve">Criteria signed; owner named</t>
  </si>
  <si>
    <t xml:space="preserve">N2</t>
  </si>
  <si>
    <t xml:space="preserve">Hypercare team rostered; escalation path live</t>
  </si>
  <si>
    <t xml:space="preserve">Service Owner</t>
  </si>
  <si>
    <t xml:space="preserve">Vendor SLA confirmed</t>
  </si>
  <si>
    <t xml:space="preserve">2026-09-15</t>
  </si>
  <si>
    <t xml:space="preserve">Roster + SLA published</t>
  </si>
  <si>
    <t xml:space="preserve">N3</t>
  </si>
  <si>
    <t xml:space="preserve">Embed weekly build session; protect what works</t>
  </si>
  <si>
    <t xml:space="preserve">Culture review</t>
  </si>
  <si>
    <t xml:space="preserve">2026-09-20</t>
  </si>
  <si>
    <t xml:space="preserve">Session running 4 weeks straight</t>
  </si>
  <si>
    <t xml:space="preserve">Builder Culture</t>
  </si>
  <si>
    <t xml:space="preserve">Δ Health = the PMOS-health points this action is expected to recover when complete. 'Expected health lift' (top) sums the points still to be earned from incomplete actions — your recovery runway.</t>
  </si>
  <si>
    <t xml:space="preserve">GO-LIVE READINESS DASHBOARD</t>
  </si>
  <si>
    <t xml:space="preserve">Five readiness domains. Each scores 0–100%. Overall readiness rolls up to the Executive Dashboard.</t>
  </si>
  <si>
    <t xml:space="preserve">Readiness is a behavioral outcome, not a completion %. Score honestly.</t>
  </si>
  <si>
    <t xml:space="preserve">Readiness checkpoint</t>
  </si>
  <si>
    <t xml:space="preserve">Weight</t>
  </si>
  <si>
    <t xml:space="preserve">Evidence / gap</t>
  </si>
  <si>
    <t xml:space="preserve">DATA MIGRATION READINESS</t>
  </si>
  <si>
    <t xml:space="preserve">Master data cleansed &amp; validated</t>
  </si>
  <si>
    <t xml:space="preserve">Migration rehearsed against real volumes</t>
  </si>
  <si>
    <t xml:space="preserve">Reconciliation controls signed off</t>
  </si>
  <si>
    <t xml:space="preserve">  → Data Migration Readiness score</t>
  </si>
  <si>
    <t xml:space="preserve">UAT READINESS</t>
  </si>
  <si>
    <t xml:space="preserve">Test scripts cover critical business processes</t>
  </si>
  <si>
    <t xml:space="preserve">Defect closure rate &gt; 90%</t>
  </si>
  <si>
    <t xml:space="preserve">Business sign-off obtained</t>
  </si>
  <si>
    <t xml:space="preserve">  → UAT Readiness score</t>
  </si>
  <si>
    <t xml:space="preserve">TRAINING READINESS</t>
  </si>
  <si>
    <t xml:space="preserve">Role-based training delivered</t>
  </si>
  <si>
    <t xml:space="preserve">Training effectiveness measured (not just attendance)</t>
  </si>
  <si>
    <t xml:space="preserve">Floor-walker / support model ready</t>
  </si>
  <si>
    <t xml:space="preserve">  → Training Readiness score</t>
  </si>
  <si>
    <t xml:space="preserve">CUTOVER READINESS</t>
  </si>
  <si>
    <t xml:space="preserve">Cutover plan rehearsed end-to-end</t>
  </si>
  <si>
    <t xml:space="preserve">Rollback plan tested</t>
  </si>
  <si>
    <t xml:space="preserve">Go/no-go criteria &amp; owner agreed</t>
  </si>
  <si>
    <t xml:space="preserve">  → Cutover Readiness score</t>
  </si>
  <si>
    <t xml:space="preserve">SUPPORT (HYPERCARE) READINESS</t>
  </si>
  <si>
    <t xml:space="preserve">Hypercare team named &amp; rostered</t>
  </si>
  <si>
    <t xml:space="preserve">Escalation path published</t>
  </si>
  <si>
    <t xml:space="preserve">Known-issues log &amp; SLAs ready</t>
  </si>
  <si>
    <t xml:space="preserve">  → Support (Hypercare) Readiness score</t>
  </si>
  <si>
    <t xml:space="preserve">OVERALL GO-LIVE READINESS</t>
  </si>
  <si>
    <t xml:space="preserve">Weighted overall readiness</t>
  </si>
  <si>
    <t xml:space="preserve">STAKEHOLDER HEATMAP</t>
  </si>
  <si>
    <t xml:space="preserve">Map each stakeholder's stance and influence. Adoption score rolls up automatically. Target: move Resistant → Passive → Champion.</t>
  </si>
  <si>
    <t xml:space="preserve">Adoption score</t>
  </si>
  <si>
    <t xml:space="preserve">Champions</t>
  </si>
  <si>
    <t xml:space="preserve">Resistant</t>
  </si>
  <si>
    <t xml:space="preserve">Stakeholder / group</t>
  </si>
  <si>
    <t xml:space="preserve">Role</t>
  </si>
  <si>
    <t xml:space="preserve">Influence</t>
  </si>
  <si>
    <t xml:space="preserve">Current stance</t>
  </si>
  <si>
    <t xml:space="preserve">Adoption %</t>
  </si>
  <si>
    <t xml:space="preserve">Recovery action</t>
  </si>
  <si>
    <t xml:space="preserve">Finance team</t>
  </si>
  <si>
    <t xml:space="preserve">Process owners</t>
  </si>
  <si>
    <t xml:space="preserve">flat</t>
  </si>
  <si>
    <t xml:space="preserve">Stakeholder recovery plan; involve in COA decision</t>
  </si>
  <si>
    <t xml:space="preserve">Warehouse ops</t>
  </si>
  <si>
    <t xml:space="preserve">End users</t>
  </si>
  <si>
    <t xml:space="preserve">Passive</t>
  </si>
  <si>
    <t xml:space="preserve">up</t>
  </si>
  <si>
    <t xml:space="preserve">Floor-walkers + quick-win demo</t>
  </si>
  <si>
    <t xml:space="preserve">Champion</t>
  </si>
  <si>
    <t xml:space="preserve">Keep visible; use in steering</t>
  </si>
  <si>
    <t xml:space="preserve">Procurement</t>
  </si>
  <si>
    <t xml:space="preserve">down</t>
  </si>
  <si>
    <t xml:space="preserve">Address shadow-spreadsheet root cause</t>
  </si>
  <si>
    <t xml:space="preserve">IT support</t>
  </si>
  <si>
    <t xml:space="preserve">Hypercare</t>
  </si>
  <si>
    <t xml:space="preserve">Early hypercare involvement</t>
  </si>
  <si>
    <t xml:space="preserve">Plant managers</t>
  </si>
  <si>
    <t xml:space="preserve">Influencers</t>
  </si>
  <si>
    <t xml:space="preserve">1:1 engagement; address go-live fears</t>
  </si>
  <si>
    <t xml:space="preserve">STEERING COMMITTEE PACK</t>
  </si>
  <si>
    <t xml:space="preserve">Auto-generated from the live tabs. Refresh before each steering. Do not hand-edit the linked cells.</t>
  </si>
  <si>
    <t xml:space="preserve">1 · HEADLINE</t>
  </si>
  <si>
    <t xml:space="preserve">Go-Live Readiness</t>
  </si>
  <si>
    <t xml:space="preserve">Recovery Score</t>
  </si>
  <si>
    <t xml:space="preserve">Financial Exposure</t>
  </si>
  <si>
    <t xml:space="preserve">2 · TOP RISKS NEEDING THIS COMMITTEE  (Critical &amp; Open)</t>
  </si>
  <si>
    <t xml:space="preserve">3 · DECISIONS NEEDED TODAY  (Open &amp; due)</t>
  </si>
  <si>
    <t xml:space="preserve">Decision</t>
  </si>
  <si>
    <t xml:space="preserve">4 · RECOVERY PROGRESS  vs  30/60/90 PLAN</t>
  </si>
  <si>
    <t xml:space="preserve">Actions complete</t>
  </si>
  <si>
    <t xml:space="preserve">Overall recovery</t>
  </si>
  <si>
    <t xml:space="preserve">What NOT to do: do not walk the committee through every workstream. Bring the 2–3 decisions only they can make.</t>
  </si>
  <si>
    <t xml:space="preserve">FINANCIAL EXPOSURE CALCULATOR</t>
  </si>
  <si>
    <t xml:space="preserve">Model the cost of doing nothing. Blue cells are your inputs; everything else calculates. Currency shown in your selected unit.</t>
  </si>
  <si>
    <t xml:space="preserve">Currency</t>
  </si>
  <si>
    <t xml:space="preserve">USD</t>
  </si>
  <si>
    <t xml:space="preserve">Set once — all figures below use this. INR shows Lakh/Crore.</t>
  </si>
  <si>
    <t xml:space="preserve">INPUTS</t>
  </si>
  <si>
    <t xml:space="preserve">Program budget (in millions, your currency)</t>
  </si>
  <si>
    <t xml:space="preserve">Weekly run-rate (% of budget burned per week)</t>
  </si>
  <si>
    <t xml:space="preserve">Expected delay (weeks)</t>
  </si>
  <si>
    <t xml:space="preserve">Daily blended team cost (your currency)</t>
  </si>
  <si>
    <t xml:space="preserve">Extra resource days needed for recovery</t>
  </si>
  <si>
    <t xml:space="preserve">Annual business benefit at stake (millions)</t>
  </si>
  <si>
    <t xml:space="preserve">Benefit lost per month of delay (%)</t>
  </si>
  <si>
    <t xml:space="preserve">Recovery programme cost (your currency)</t>
  </si>
  <si>
    <t xml:space="preserve">CALCULATED EXPOSURE</t>
  </si>
  <si>
    <t xml:space="preserve">Delay cost (run-rate × weeks)</t>
  </si>
  <si>
    <t xml:space="preserve">Recovery resource cost (day-rate × days)</t>
  </si>
  <si>
    <t xml:space="preserve">Benefit realisation impact (delay × benefit/mo)</t>
  </si>
  <si>
    <t xml:space="preserve">Recovery programme cost</t>
  </si>
  <si>
    <t xml:space="preserve">TOTAL EXPOSURE IF NOTHING CHANGES</t>
  </si>
  <si>
    <t xml:space="preserve">Recovery ROI  (exposure avoided ÷ recovery cost)</t>
  </si>
  <si>
    <t xml:space="preserve">Every 1 unit spent on recovery avoids this many in exposure.</t>
  </si>
  <si>
    <t xml:space="preserve">Note: figures are in your selected currency's base units. In the PMOS web report these render with Lakh/Crore (INR) or Million/Billion (USD/GBP/EUR) automatically.</t>
  </si>
  <si>
    <t xml:space="preserve">PMOS™ PATTERN DASHBOARD — THE BEHAVIORAL CONTROL TOWER</t>
  </si>
  <si>
    <t xml:space="preserve">The five PMOS patterns are the root cause. Every risk, decision, stakeholder and recovery action traces back to one of them. This is the centre of the Command Center.</t>
  </si>
  <si>
    <t xml:space="preserve">Score each pattern 0–100 from your latest diagnostic (higher = more dysfunction; Builder Culture is inverse — higher is better). Columns I–L pull live from the other tabs.</t>
  </si>
  <si>
    <t xml:space="preserve">PATTERN</t>
  </si>
  <si>
    <t xml:space="preserve">NOW</t>
  </si>
  <si>
    <t xml:space="preserve">TREND</t>
  </si>
  <si>
    <t xml:space="preserve">SEVERITY</t>
  </si>
  <si>
    <t xml:space="preserve">Risks</t>
  </si>
  <si>
    <t xml:space="preserve">Decisions</t>
  </si>
  <si>
    <t xml:space="preserve">People</t>
  </si>
  <si>
    <t xml:space="preserve">Actions</t>
  </si>
  <si>
    <t xml:space="preserve">RECOMMENDED NEXT MOVE</t>
  </si>
  <si>
    <t xml:space="preserve">Pair every single-point-of-failure with a named backup now; start knowledge transfer this week.</t>
  </si>
  <si>
    <t xml:space="preserve">Cut approvals to max two layers; kill one standing forum that produced no decision last month.</t>
  </si>
  <si>
    <t xml:space="preserve">Put one named owner + deadline on every open decision; escalate any decision aged &gt;10 days.</t>
  </si>
  <si>
    <t xml:space="preserve">Run a shadow-process audit; convert two resistant stakeholders with a visible quick win.</t>
  </si>
  <si>
    <t xml:space="preserve">Builder Culture™ (↑ good)</t>
  </si>
  <si>
    <t xml:space="preserve">Reinforce problem-solving wins publicly; protect the behaviours already working.</t>
  </si>
  <si>
    <t xml:space="preserve">PMOS HEALTH INDEX</t>
  </si>
  <si>
    <t xml:space="preserve">Composite health (0–100)</t>
  </si>
  <si>
    <t xml:space="preserve">← Feeds the Executive Dashboard. Below 25 = critical behavioral failure underway.</t>
  </si>
  <si>
    <t xml:space="preserve">EXPECTED HEALTH LIFT FROM THE RECOVERY PLAN</t>
  </si>
  <si>
    <t xml:space="preserve">Current composite health</t>
  </si>
  <si>
    <t xml:space="preserve">where the program sits today</t>
  </si>
  <si>
    <t xml:space="preserve">Total Δ from open recovery actions</t>
  </si>
  <si>
    <t xml:space="preserve">sum of expected health points across all recovery actions</t>
  </si>
  <si>
    <t xml:space="preserve">Projected health if plan delivered</t>
  </si>
  <si>
    <t xml:space="preserve">realistic target if every recovery action lands — your recovery business case in one number</t>
  </si>
  <si>
    <t xml:space="preserve">HOW TO READ THIS TAB</t>
  </si>
  <si>
    <t xml:space="preserve">•  Each pattern's NOW score drives its severity and links. The patterns are the root cause; the columns to the right show how much live work each one is generating.</t>
  </si>
  <si>
    <t xml:space="preserve">•  Risks / Decisions / People / Actions count the open items tagged to each pattern across the other tabs. A pattern with high score AND high counts is where to spend your week.</t>
  </si>
  <si>
    <t xml:space="preserve">•  Tag items to patterns using the 'PMOS Pattern' column on the RAID, Decision, Stakeholder and Recovery tabs. The counts here update automatically.</t>
  </si>
  <si>
    <t xml:space="preserve">•  The green block is your recovery business case: today's health, the lift your plan is expected to deliver, and the projected end state. Take it to your sponsor.</t>
  </si>
</sst>
</file>

<file path=xl/styles.xml><?xml version="1.0" encoding="utf-8"?>
<styleSheet xmlns="http://schemas.openxmlformats.org/spreadsheetml/2006/main">
  <numFmts count="15">
    <numFmt numFmtId="164" formatCode="General"/>
    <numFmt numFmtId="165" formatCode="dd\ mmm\ yyyy"/>
    <numFmt numFmtId="166" formatCode="0"/>
    <numFmt numFmtId="167" formatCode="0%"/>
    <numFmt numFmtId="168" formatCode="\$#,##0,\K"/>
    <numFmt numFmtId="169" formatCode="General"/>
    <numFmt numFmtId="170" formatCode="dd\ mmm"/>
    <numFmt numFmtId="171" formatCode="0.0&quot; days avg to close&quot;"/>
    <numFmt numFmtId="172" formatCode="\+0;\-0;0"/>
    <numFmt numFmtId="173" formatCode="\$#,##0"/>
    <numFmt numFmtId="174" formatCode="0.0"/>
    <numFmt numFmtId="175" formatCode="0.00%"/>
    <numFmt numFmtId="176" formatCode="#,##0"/>
    <numFmt numFmtId="177" formatCode="0.0%"/>
    <numFmt numFmtId="178" formatCode="0.0\×"/>
  </numFmts>
  <fonts count="53">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9"/>
      <color rgb="FFB0B0C8"/>
      <name val="Arial"/>
      <family val="0"/>
      <charset val="1"/>
    </font>
    <font>
      <b val="true"/>
      <sz val="9"/>
      <color rgb="FF000000"/>
      <name val="Arial"/>
      <family val="0"/>
      <charset val="1"/>
    </font>
    <font>
      <sz val="10"/>
      <color rgb="FF0000FF"/>
      <name val="Arial"/>
      <family val="0"/>
      <charset val="1"/>
    </font>
    <font>
      <sz val="10"/>
      <color rgb="FF000000"/>
      <name val="Arial"/>
      <family val="0"/>
      <charset val="1"/>
    </font>
    <font>
      <b val="true"/>
      <sz val="10"/>
      <color rgb="FFFFFFFF"/>
      <name val="Arial"/>
      <family val="0"/>
      <charset val="1"/>
    </font>
    <font>
      <b val="true"/>
      <sz val="8"/>
      <color rgb="FFFFFFFF"/>
      <name val="Arial"/>
      <family val="0"/>
      <charset val="1"/>
    </font>
    <font>
      <b val="true"/>
      <sz val="20"/>
      <color rgb="FF1A1A2E"/>
      <name val="Arial"/>
      <family val="0"/>
      <charset val="1"/>
    </font>
    <font>
      <b val="true"/>
      <sz val="9"/>
      <color rgb="FFFFFFFF"/>
      <name val="Arial"/>
      <family val="0"/>
      <charset val="1"/>
    </font>
    <font>
      <sz val="9"/>
      <color rgb="FF000000"/>
      <name val="Arial"/>
      <family val="0"/>
      <charset val="1"/>
    </font>
    <font>
      <sz val="9"/>
      <color rgb="FF0000FF"/>
      <name val="Arial"/>
      <family val="0"/>
      <charset val="1"/>
    </font>
    <font>
      <b val="true"/>
      <sz val="9"/>
      <color rgb="FF008000"/>
      <name val="Arial"/>
      <family val="0"/>
      <charset val="1"/>
    </font>
    <font>
      <b val="true"/>
      <sz val="8"/>
      <color rgb="FF000000"/>
      <name val="Arial"/>
      <family val="0"/>
      <charset val="1"/>
    </font>
    <font>
      <sz val="8"/>
      <color rgb="FF555566"/>
      <name val="Arial"/>
      <family val="0"/>
      <charset val="1"/>
    </font>
    <font>
      <b val="true"/>
      <sz val="14"/>
      <color rgb="FFFFFFFF"/>
      <name val="Arial"/>
      <family val="0"/>
      <charset val="1"/>
    </font>
    <font>
      <i val="true"/>
      <sz val="9"/>
      <color rgb="FF555566"/>
      <name val="Arial"/>
      <family val="0"/>
      <charset val="1"/>
    </font>
    <font>
      <sz val="9"/>
      <color rgb="FF333333"/>
      <name val="Arial"/>
      <family val="0"/>
      <charset val="1"/>
    </font>
    <font>
      <b val="true"/>
      <sz val="9"/>
      <color rgb="FF333333"/>
      <name val="Arial"/>
      <family val="0"/>
      <charset val="1"/>
    </font>
    <font>
      <b val="true"/>
      <sz val="9"/>
      <color rgb="FFE8505B"/>
      <name val="Arial"/>
      <family val="0"/>
      <charset val="1"/>
    </font>
    <font>
      <sz val="8"/>
      <color rgb="FF000000"/>
      <name val="Arial"/>
      <family val="0"/>
      <charset val="1"/>
    </font>
    <font>
      <b val="true"/>
      <sz val="8"/>
      <color rgb="FF1A1A2E"/>
      <name val="Arial"/>
      <family val="0"/>
      <charset val="1"/>
    </font>
    <font>
      <b val="true"/>
      <sz val="9"/>
      <color rgb="FF2E9E5B"/>
      <name val="Arial"/>
      <family val="0"/>
      <charset val="1"/>
    </font>
    <font>
      <i val="true"/>
      <sz val="9"/>
      <color rgb="FF333333"/>
      <name val="Arial"/>
      <family val="0"/>
      <charset val="1"/>
    </font>
    <font>
      <b val="true"/>
      <sz val="9"/>
      <color rgb="FF1A1A2E"/>
      <name val="Arial"/>
      <family val="0"/>
      <charset val="1"/>
    </font>
    <font>
      <sz val="9"/>
      <color rgb="FF555566"/>
      <name val="Arial"/>
      <family val="0"/>
      <charset val="1"/>
    </font>
    <font>
      <sz val="9"/>
      <color rgb="FF808080"/>
      <name val="Arial"/>
      <family val="0"/>
      <charset val="1"/>
    </font>
    <font>
      <b val="true"/>
      <sz val="11"/>
      <color rgb="FF008000"/>
      <name val="Arial"/>
      <family val="0"/>
      <charset val="1"/>
    </font>
    <font>
      <b val="true"/>
      <sz val="11"/>
      <color rgb="FF000000"/>
      <name val="Arial"/>
      <family val="0"/>
      <charset val="1"/>
    </font>
    <font>
      <b val="true"/>
      <sz val="11"/>
      <color rgb="FFE8505B"/>
      <name val="Arial"/>
      <family val="0"/>
      <charset val="1"/>
    </font>
    <font>
      <b val="true"/>
      <sz val="15"/>
      <color rgb="FFFFFFFF"/>
      <name val="Arial"/>
      <family val="0"/>
      <charset val="1"/>
    </font>
    <font>
      <i val="true"/>
      <sz val="9"/>
      <color rgb="FFFFFFFF"/>
      <name val="Arial"/>
      <family val="0"/>
      <charset val="1"/>
    </font>
    <font>
      <b val="true"/>
      <sz val="10"/>
      <color rgb="FF000000"/>
      <name val="Arial"/>
      <family val="0"/>
      <charset val="1"/>
    </font>
    <font>
      <b val="true"/>
      <sz val="12"/>
      <color rgb="FF1A1A2E"/>
      <name val="Arial"/>
      <family val="0"/>
      <charset val="1"/>
    </font>
    <font>
      <b val="true"/>
      <sz val="12"/>
      <color rgb="FF2E9E5B"/>
      <name val="Arial"/>
      <family val="0"/>
      <charset val="1"/>
    </font>
    <font>
      <sz val="9"/>
      <color rgb="FF8A8A9A"/>
      <name val="Arial"/>
      <family val="0"/>
      <charset val="1"/>
    </font>
    <font>
      <sz val="8"/>
      <color rgb="FF0000FF"/>
      <name val="Arial"/>
      <family val="0"/>
      <charset val="1"/>
    </font>
    <font>
      <i val="true"/>
      <sz val="8"/>
      <color rgb="FF8A8A9A"/>
      <name val="Arial"/>
      <family val="0"/>
      <charset val="1"/>
    </font>
    <font>
      <b val="true"/>
      <sz val="11"/>
      <color rgb="FF1A1A2E"/>
      <name val="Arial"/>
      <family val="0"/>
      <charset val="1"/>
    </font>
    <font>
      <b val="true"/>
      <sz val="14"/>
      <color rgb="FF008000"/>
      <name val="Arial"/>
      <family val="0"/>
      <charset val="1"/>
    </font>
    <font>
      <b val="true"/>
      <sz val="12"/>
      <color rgb="FF008000"/>
      <name val="Arial"/>
      <family val="0"/>
      <charset val="1"/>
    </font>
    <font>
      <b val="true"/>
      <sz val="10"/>
      <color rgb="FF2E9E5B"/>
      <name val="Arial"/>
      <family val="0"/>
      <charset val="1"/>
    </font>
    <font>
      <b val="true"/>
      <sz val="10"/>
      <color rgb="FFE8505B"/>
      <name val="Arial"/>
      <family val="0"/>
      <charset val="1"/>
    </font>
    <font>
      <b val="true"/>
      <sz val="10"/>
      <color rgb="FF008000"/>
      <name val="Arial"/>
      <family val="0"/>
      <charset val="1"/>
    </font>
    <font>
      <sz val="9"/>
      <color rgb="FF008000"/>
      <name val="Arial"/>
      <family val="0"/>
      <charset val="1"/>
    </font>
    <font>
      <i val="true"/>
      <sz val="8"/>
      <color rgb="FF555566"/>
      <name val="Arial"/>
      <family val="0"/>
      <charset val="1"/>
    </font>
    <font>
      <b val="true"/>
      <sz val="12"/>
      <color rgb="FFFFFFFF"/>
      <name val="Arial"/>
      <family val="0"/>
      <charset val="1"/>
    </font>
    <font>
      <b val="true"/>
      <sz val="11"/>
      <color rgb="FF2E9E5B"/>
      <name val="Arial"/>
      <family val="0"/>
      <charset val="1"/>
    </font>
    <font>
      <b val="true"/>
      <sz val="14"/>
      <color rgb="FF1A1A2E"/>
      <name val="Arial"/>
      <family val="0"/>
      <charset val="1"/>
    </font>
    <font>
      <b val="true"/>
      <sz val="14"/>
      <color rgb="FF2E9E5B"/>
      <name val="Arial"/>
      <family val="0"/>
      <charset val="1"/>
    </font>
  </fonts>
  <fills count="10">
    <fill>
      <patternFill patternType="none"/>
    </fill>
    <fill>
      <patternFill patternType="gray125"/>
    </fill>
    <fill>
      <patternFill patternType="solid">
        <fgColor rgb="FF1A1A2E"/>
        <bgColor rgb="FF333333"/>
      </patternFill>
    </fill>
    <fill>
      <patternFill patternType="solid">
        <fgColor rgb="FFE8505B"/>
        <bgColor rgb="FFE07B39"/>
      </patternFill>
    </fill>
    <fill>
      <patternFill patternType="solid">
        <fgColor rgb="FF555566"/>
        <bgColor rgb="FF333399"/>
      </patternFill>
    </fill>
    <fill>
      <patternFill patternType="solid">
        <fgColor rgb="FFF0F0F5"/>
        <bgColor rgb="FFE7F5EC"/>
      </patternFill>
    </fill>
    <fill>
      <patternFill patternType="solid">
        <fgColor rgb="FF8A8A9A"/>
        <bgColor rgb="FF808080"/>
      </patternFill>
    </fill>
    <fill>
      <patternFill patternType="solid">
        <fgColor rgb="FF2E9E5B"/>
        <bgColor rgb="FF008080"/>
      </patternFill>
    </fill>
    <fill>
      <patternFill patternType="solid">
        <fgColor rgb="FFE8A33D"/>
        <bgColor rgb="FFE07B39"/>
      </patternFill>
    </fill>
    <fill>
      <patternFill patternType="solid">
        <fgColor rgb="FFE07B39"/>
        <bgColor rgb="FFE8A33D"/>
      </patternFill>
    </fill>
  </fills>
  <borders count="4">
    <border diagonalUp="false" diagonalDown="false">
      <left/>
      <right/>
      <top/>
      <bottom/>
      <diagonal/>
    </border>
    <border diagonalUp="false" diagonalDown="false">
      <left style="thin">
        <color rgb="FFCCCCD5"/>
      </left>
      <right style="thin">
        <color rgb="FFCCCCD5"/>
      </right>
      <top style="thin">
        <color rgb="FFCCCCD5"/>
      </top>
      <bottom style="thin">
        <color rgb="FFCCCCD5"/>
      </bottom>
      <diagonal/>
    </border>
    <border diagonalUp="false" diagonalDown="false">
      <left style="thin">
        <color rgb="FFD5D5DD"/>
      </left>
      <right style="thin">
        <color rgb="FFD5D5DD"/>
      </right>
      <top style="thin">
        <color rgb="FFD5D5DD"/>
      </top>
      <bottom style="thin">
        <color rgb="FFD5D5DD"/>
      </bottom>
      <diagonal/>
    </border>
    <border diagonalUp="false" diagonalDown="false">
      <left style="thin">
        <color rgb="FFD5D5DD"/>
      </left>
      <right/>
      <top style="thin">
        <color rgb="FFD5D5DD"/>
      </top>
      <bottom style="thin">
        <color rgb="FFD5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left" vertical="center" textRotation="0" wrapText="false" indent="1" shrinkToFit="false"/>
      <protection locked="true" hidden="false"/>
    </xf>
    <xf numFmtId="164" fontId="5" fillId="2" borderId="0" xfId="0" applyFont="true" applyBorder="true" applyAlignment="true" applyProtection="true">
      <alignment horizontal="left" vertical="center" textRotation="0" wrapText="false" indent="1" shrinkToFit="false"/>
      <protection locked="true" hidden="false"/>
    </xf>
    <xf numFmtId="164" fontId="0" fillId="3" borderId="0" xfId="0" applyFont="fals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general" vertical="bottom" textRotation="0" wrapText="false" indent="0" shrinkToFit="false"/>
      <protection locked="true" hidden="false"/>
    </xf>
    <xf numFmtId="165" fontId="8" fillId="0" borderId="0" xfId="0" applyFont="true" applyBorder="false" applyAlignment="true" applyProtection="true">
      <alignment horizontal="general" vertical="bottom" textRotation="0" wrapText="false" indent="0" shrinkToFit="false"/>
      <protection locked="true" hidden="false"/>
    </xf>
    <xf numFmtId="165" fontId="7" fillId="0" borderId="0" xfId="0" applyFont="true" applyBorder="false" applyAlignment="true" applyProtection="true">
      <alignment horizontal="general" vertical="bottom" textRotation="0" wrapText="false" indent="0" shrinkToFit="false"/>
      <protection locked="true" hidden="false"/>
    </xf>
    <xf numFmtId="164" fontId="9" fillId="2" borderId="0" xfId="0" applyFont="true" applyBorder="true" applyAlignment="true" applyProtection="true">
      <alignment horizontal="left" vertical="center" textRotation="0" wrapText="false" indent="1" shrinkToFit="false"/>
      <protection locked="true" hidden="false"/>
    </xf>
    <xf numFmtId="164" fontId="10" fillId="4" borderId="1" xfId="0" applyFont="true" applyBorder="true" applyAlignment="true" applyProtection="true">
      <alignment horizontal="center" vertical="center" textRotation="0" wrapText="true" indent="0" shrinkToFit="false"/>
      <protection locked="true" hidden="false"/>
    </xf>
    <xf numFmtId="166" fontId="11" fillId="5" borderId="1" xfId="0" applyFont="true" applyBorder="true" applyAlignment="true" applyProtection="true">
      <alignment horizontal="center" vertical="center" textRotation="0" wrapText="false" indent="0" shrinkToFit="false"/>
      <protection locked="true" hidden="false"/>
    </xf>
    <xf numFmtId="167" fontId="11" fillId="5" borderId="1" xfId="0" applyFont="true" applyBorder="true" applyAlignment="true" applyProtection="true">
      <alignment horizontal="center" vertical="center" textRotation="0" wrapText="false" indent="0" shrinkToFit="false"/>
      <protection locked="true" hidden="false"/>
    </xf>
    <xf numFmtId="168" fontId="11" fillId="5" borderId="1" xfId="0" applyFont="true" applyBorder="true" applyAlignment="true" applyProtection="true">
      <alignment horizontal="center" vertical="center" textRotation="0" wrapText="false" indent="0" shrinkToFit="false"/>
      <protection locked="true" hidden="false"/>
    </xf>
    <xf numFmtId="164" fontId="12" fillId="2" borderId="1" xfId="0" applyFont="true" applyBorder="true" applyAlignment="true" applyProtection="true">
      <alignment horizontal="center" vertical="center" textRotation="0" wrapText="true" indent="0" shrinkToFit="false"/>
      <protection locked="true" hidden="false"/>
    </xf>
    <xf numFmtId="164" fontId="13" fillId="0" borderId="1" xfId="0" applyFont="true" applyBorder="true" applyAlignment="true" applyProtection="true">
      <alignment horizontal="left" vertical="center" textRotation="0" wrapText="true" indent="1" shrinkToFit="false"/>
      <protection locked="true" hidden="false"/>
    </xf>
    <xf numFmtId="164" fontId="14" fillId="0" borderId="1" xfId="0" applyFont="true" applyBorder="true" applyAlignment="true" applyProtection="true">
      <alignment horizontal="center" vertical="center" textRotation="0" wrapText="false" indent="0" shrinkToFit="false"/>
      <protection locked="true" hidden="false"/>
    </xf>
    <xf numFmtId="166" fontId="15" fillId="0" borderId="1" xfId="0" applyFont="true" applyBorder="true" applyAlignment="true" applyProtection="true">
      <alignment horizontal="center" vertical="center" textRotation="0" wrapText="false" indent="0" shrinkToFit="false"/>
      <protection locked="true" hidden="false"/>
    </xf>
    <xf numFmtId="164" fontId="6" fillId="0" borderId="1" xfId="0" applyFont="true" applyBorder="true" applyAlignment="true" applyProtection="true">
      <alignment horizontal="center" vertical="center" textRotation="0" wrapText="false" indent="0" shrinkToFit="false"/>
      <protection locked="true" hidden="false"/>
    </xf>
    <xf numFmtId="169" fontId="15" fillId="0" borderId="1" xfId="0" applyFont="true" applyBorder="true" applyAlignment="true" applyProtection="true">
      <alignment horizontal="center" vertical="center"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true" applyAlignment="true" applyProtection="true">
      <alignment horizontal="general" vertical="bottom" textRotation="0" wrapText="false" indent="0" shrinkToFit="false"/>
      <protection locked="true" hidden="false"/>
    </xf>
    <xf numFmtId="164" fontId="18" fillId="2" borderId="0" xfId="0" applyFont="true" applyBorder="true" applyAlignment="true" applyProtection="true">
      <alignment horizontal="left" vertical="center" textRotation="0" wrapText="false" indent="1" shrinkToFit="false"/>
      <protection locked="true" hidden="false"/>
    </xf>
    <xf numFmtId="164" fontId="19" fillId="0" borderId="0" xfId="0" applyFont="true" applyBorder="true" applyAlignment="true" applyProtection="true">
      <alignment horizontal="left" vertical="center" textRotation="0" wrapText="true" indent="1" shrinkToFit="false"/>
      <protection locked="true" hidden="false"/>
    </xf>
    <xf numFmtId="164" fontId="9" fillId="2" borderId="0" xfId="0" applyFont="true" applyBorder="true" applyAlignment="true" applyProtection="true">
      <alignment horizontal="left" vertical="center" textRotation="0" wrapText="true" indent="1" shrinkToFit="false"/>
      <protection locked="true" hidden="false"/>
    </xf>
    <xf numFmtId="164" fontId="20" fillId="0" borderId="0" xfId="0" applyFont="true" applyBorder="true" applyAlignment="true" applyProtection="true">
      <alignment horizontal="left" vertical="center" textRotation="0" wrapText="true" indent="1" shrinkToFit="false"/>
      <protection locked="true" hidden="false"/>
    </xf>
    <xf numFmtId="164" fontId="21" fillId="0" borderId="0" xfId="0" applyFont="true" applyBorder="true" applyAlignment="true" applyProtection="true">
      <alignment horizontal="left" vertical="center" textRotation="0" wrapText="true" indent="1" shrinkToFit="false"/>
      <protection locked="true" hidden="false"/>
    </xf>
    <xf numFmtId="164" fontId="9" fillId="3" borderId="0" xfId="0" applyFont="true" applyBorder="true" applyAlignment="true" applyProtection="true">
      <alignment horizontal="left" vertical="center" textRotation="0" wrapText="true" indent="1" shrinkToFit="false"/>
      <protection locked="true" hidden="false"/>
    </xf>
    <xf numFmtId="164" fontId="10" fillId="6" borderId="2" xfId="0" applyFont="true" applyBorder="true" applyAlignment="true" applyProtection="true">
      <alignment horizontal="center" vertical="center" textRotation="0" wrapText="true" indent="0" shrinkToFit="false"/>
      <protection locked="true" hidden="false"/>
    </xf>
    <xf numFmtId="164" fontId="10" fillId="6" borderId="3" xfId="0" applyFont="true" applyBorder="true" applyAlignment="true" applyProtection="true">
      <alignment horizontal="center" vertical="center" textRotation="0" wrapText="true" indent="0" shrinkToFit="false"/>
      <protection locked="true" hidden="false"/>
    </xf>
    <xf numFmtId="164" fontId="16" fillId="0" borderId="2" xfId="0" applyFont="true" applyBorder="true" applyAlignment="true" applyProtection="true">
      <alignment horizontal="left" vertical="center" textRotation="0" wrapText="true" indent="1" shrinkToFit="false"/>
      <protection locked="true" hidden="false"/>
    </xf>
    <xf numFmtId="164" fontId="22" fillId="0" borderId="2" xfId="0" applyFont="true" applyBorder="true" applyAlignment="true" applyProtection="true">
      <alignment horizontal="center" vertical="center" textRotation="0" wrapText="false" indent="0" shrinkToFit="false"/>
      <protection locked="true" hidden="false"/>
    </xf>
    <xf numFmtId="164" fontId="23" fillId="0" borderId="2" xfId="0" applyFont="true" applyBorder="true" applyAlignment="true" applyProtection="true">
      <alignment horizontal="left" vertical="center" textRotation="0" wrapText="true" indent="1" shrinkToFit="false"/>
      <protection locked="true" hidden="false"/>
    </xf>
    <xf numFmtId="164" fontId="24" fillId="0" borderId="2" xfId="0" applyFont="true" applyBorder="true" applyAlignment="true" applyProtection="true">
      <alignment horizontal="left" vertical="top" textRotation="0" wrapText="true" indent="1" shrinkToFit="false"/>
      <protection locked="true" hidden="false"/>
    </xf>
    <xf numFmtId="164" fontId="9" fillId="7" borderId="0" xfId="0" applyFont="true" applyBorder="true" applyAlignment="true" applyProtection="true">
      <alignment horizontal="left" vertical="center" textRotation="0" wrapText="true" indent="1" shrinkToFit="false"/>
      <protection locked="true" hidden="false"/>
    </xf>
    <xf numFmtId="164" fontId="20" fillId="0" borderId="2" xfId="0" applyFont="true" applyBorder="true" applyAlignment="true" applyProtection="true">
      <alignment horizontal="center" vertical="center" textRotation="0" wrapText="false" indent="0" shrinkToFit="false"/>
      <protection locked="true" hidden="false"/>
    </xf>
    <xf numFmtId="164" fontId="25" fillId="0" borderId="2" xfId="0" applyFont="true" applyBorder="true" applyAlignment="true" applyProtection="true">
      <alignment horizontal="center" vertical="center" textRotation="0" wrapText="false" indent="0" shrinkToFit="false"/>
      <protection locked="true" hidden="false"/>
    </xf>
    <xf numFmtId="164" fontId="26" fillId="0" borderId="0" xfId="0" applyFont="true" applyBorder="true" applyAlignment="true" applyProtection="true">
      <alignment horizontal="left" vertical="center" textRotation="0" wrapText="true" indent="1" shrinkToFit="false"/>
      <protection locked="true" hidden="false"/>
    </xf>
    <xf numFmtId="164" fontId="27" fillId="0" borderId="0" xfId="0" applyFont="true" applyBorder="true" applyAlignment="true" applyProtection="true">
      <alignment horizontal="left" vertical="center" textRotation="0" wrapText="true" indent="1" shrinkToFit="false"/>
      <protection locked="true" hidden="false"/>
    </xf>
    <xf numFmtId="164" fontId="28" fillId="0" borderId="0" xfId="0" applyFont="true" applyBorder="true" applyAlignment="true" applyProtection="true">
      <alignment horizontal="general" vertical="bottom" textRotation="0" wrapText="false" indent="0" shrinkToFit="false"/>
      <protection locked="true" hidden="false"/>
    </xf>
    <xf numFmtId="164" fontId="12" fillId="2" borderId="0" xfId="0" applyFont="true" applyBorder="false" applyAlignment="true" applyProtection="true">
      <alignment horizontal="center" vertical="center" textRotation="0" wrapText="tru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4" fillId="0" borderId="1" xfId="0" applyFont="true" applyBorder="true" applyAlignment="true" applyProtection="true">
      <alignment horizontal="left" vertical="center" textRotation="0" wrapText="true" indent="1" shrinkToFit="false"/>
      <protection locked="true" hidden="false"/>
    </xf>
    <xf numFmtId="170" fontId="14" fillId="0" borderId="1" xfId="0" applyFont="true" applyBorder="true" applyAlignment="true" applyProtection="true">
      <alignment horizontal="center" vertical="center" textRotation="0" wrapText="false" indent="0" shrinkToFit="false"/>
      <protection locked="true" hidden="false"/>
    </xf>
    <xf numFmtId="164" fontId="14" fillId="0" borderId="0" xfId="0" applyFont="true" applyBorder="false" applyAlignment="true" applyProtection="true">
      <alignment horizontal="center" vertical="bottom" textRotation="0" wrapText="false" indent="0" shrinkToFit="false"/>
      <protection locked="true" hidden="false"/>
    </xf>
    <xf numFmtId="169" fontId="29" fillId="0" borderId="0" xfId="0" applyFont="true" applyBorder="false" applyAlignment="true" applyProtection="true">
      <alignment horizontal="general" vertical="bottom" textRotation="0" wrapText="false" indent="0" shrinkToFit="false"/>
      <protection locked="true" hidden="false"/>
    </xf>
    <xf numFmtId="164" fontId="14" fillId="0" borderId="1" xfId="0" applyFont="true" applyBorder="true" applyAlignment="true" applyProtection="true">
      <alignment horizontal="general" vertical="bottom" textRotation="0" wrapText="false" indent="0" shrinkToFit="false"/>
      <protection locked="true" hidden="false"/>
    </xf>
    <xf numFmtId="171" fontId="30" fillId="0" borderId="0" xfId="0" applyFont="true" applyBorder="false" applyAlignment="true" applyProtection="true">
      <alignment horizontal="general" vertical="bottom" textRotation="0" wrapText="false" indent="0" shrinkToFit="false"/>
      <protection locked="true" hidden="false"/>
    </xf>
    <xf numFmtId="169" fontId="31" fillId="0" borderId="0" xfId="0" applyFont="true" applyBorder="false" applyAlignment="true" applyProtection="true">
      <alignment horizontal="center" vertical="center" textRotation="0" wrapText="false" indent="0" shrinkToFit="false"/>
      <protection locked="true" hidden="false"/>
    </xf>
    <xf numFmtId="169" fontId="32" fillId="0" borderId="0" xfId="0" applyFont="true" applyBorder="false" applyAlignment="true" applyProtection="true">
      <alignment horizontal="center" vertical="center" textRotation="0" wrapText="false" indent="0" shrinkToFit="false"/>
      <protection locked="true" hidden="false"/>
    </xf>
    <xf numFmtId="170" fontId="14" fillId="0" borderId="1" xfId="0" applyFont="true" applyBorder="true" applyAlignment="true" applyProtection="true">
      <alignment horizontal="general" vertical="bottom" textRotation="0" wrapText="false" indent="0" shrinkToFit="false"/>
      <protection locked="true" hidden="false"/>
    </xf>
    <xf numFmtId="164" fontId="33" fillId="2" borderId="0" xfId="0" applyFont="true" applyBorder="true" applyAlignment="true" applyProtection="true">
      <alignment horizontal="left" vertical="center" textRotation="0" wrapText="false" indent="1" shrinkToFit="false"/>
      <protection locked="true" hidden="false"/>
    </xf>
    <xf numFmtId="164" fontId="34" fillId="2" borderId="0" xfId="0" applyFont="true" applyBorder="true" applyAlignment="true" applyProtection="true">
      <alignment horizontal="left" vertical="center" textRotation="0" wrapText="false" indent="1" shrinkToFit="false"/>
      <protection locked="true" hidden="false"/>
    </xf>
    <xf numFmtId="164" fontId="35" fillId="0" borderId="0" xfId="0" applyFont="true" applyBorder="false" applyAlignment="true" applyProtection="true">
      <alignment horizontal="left" vertical="center" textRotation="0" wrapText="true" indent="1" shrinkToFit="false"/>
      <protection locked="true" hidden="false"/>
    </xf>
    <xf numFmtId="167" fontId="36" fillId="0" borderId="2" xfId="0" applyFont="true" applyBorder="true" applyAlignment="true" applyProtection="true">
      <alignment horizontal="center" vertical="center" textRotation="0" wrapText="false" indent="0" shrinkToFit="false"/>
      <protection locked="true" hidden="false"/>
    </xf>
    <xf numFmtId="172" fontId="37" fillId="0" borderId="2" xfId="0" applyFont="true" applyBorder="true" applyAlignment="true" applyProtection="true">
      <alignment horizontal="center" vertical="center" textRotation="0" wrapText="false" indent="0" shrinkToFit="false"/>
      <protection locked="true" hidden="false"/>
    </xf>
    <xf numFmtId="164" fontId="38" fillId="0" borderId="0" xfId="0" applyFont="true" applyBorder="false" applyAlignment="true" applyProtection="true">
      <alignment horizontal="left" vertical="bottom" textRotation="0" wrapText="false" indent="0" shrinkToFit="false"/>
      <protection locked="true" hidden="false"/>
    </xf>
    <xf numFmtId="164" fontId="31" fillId="0" borderId="2" xfId="0" applyFont="true" applyBorder="true" applyAlignment="true" applyProtection="true">
      <alignment horizontal="center" vertical="center" textRotation="0" wrapText="false" indent="0" shrinkToFit="false"/>
      <protection locked="true" hidden="false"/>
    </xf>
    <xf numFmtId="164" fontId="12" fillId="2" borderId="2" xfId="0" applyFont="true" applyBorder="true" applyAlignment="true" applyProtection="true">
      <alignment horizontal="center" vertical="center" textRotation="0" wrapText="true" indent="0" shrinkToFit="false"/>
      <protection locked="true" hidden="false"/>
    </xf>
    <xf numFmtId="164" fontId="10" fillId="2" borderId="2" xfId="0" applyFont="true" applyBorder="true" applyAlignment="true" applyProtection="true">
      <alignment horizontal="center" vertical="center" textRotation="0" wrapText="true" indent="0" shrinkToFit="false"/>
      <protection locked="true" hidden="false"/>
    </xf>
    <xf numFmtId="164" fontId="10" fillId="2" borderId="3" xfId="0" applyFont="true" applyBorder="true" applyAlignment="true" applyProtection="true">
      <alignment horizontal="center" vertical="center" textRotation="0" wrapText="false" indent="0" shrinkToFit="false"/>
      <protection locked="true" hidden="false"/>
    </xf>
    <xf numFmtId="164" fontId="6" fillId="0" borderId="2" xfId="0" applyFont="true" applyBorder="true" applyAlignment="true" applyProtection="true">
      <alignment horizontal="center" vertical="center" textRotation="0" wrapText="false" indent="0" shrinkToFit="false"/>
      <protection locked="true" hidden="false"/>
    </xf>
    <xf numFmtId="164" fontId="13" fillId="0" borderId="2" xfId="0" applyFont="true" applyBorder="true" applyAlignment="true" applyProtection="true">
      <alignment horizontal="left" vertical="center" textRotation="0" wrapText="true" indent="1" shrinkToFit="false"/>
      <protection locked="true" hidden="false"/>
    </xf>
    <xf numFmtId="164" fontId="14" fillId="0" borderId="2" xfId="0" applyFont="true" applyBorder="true" applyAlignment="true" applyProtection="true">
      <alignment horizontal="center" vertical="center" textRotation="0" wrapText="false" indent="0" shrinkToFit="false"/>
      <protection locked="true" hidden="false"/>
    </xf>
    <xf numFmtId="167" fontId="14" fillId="0" borderId="2" xfId="0" applyFont="true" applyBorder="true" applyAlignment="true" applyProtection="true">
      <alignment horizontal="center" vertical="center" textRotation="0" wrapText="false" indent="0" shrinkToFit="false"/>
      <protection locked="true" hidden="false"/>
    </xf>
    <xf numFmtId="172" fontId="14" fillId="0" borderId="2" xfId="0" applyFont="true" applyBorder="true" applyAlignment="true" applyProtection="true">
      <alignment horizontal="center" vertical="center" textRotation="0" wrapText="false" indent="0" shrinkToFit="false"/>
      <protection locked="true" hidden="false"/>
    </xf>
    <xf numFmtId="164" fontId="39" fillId="0" borderId="2" xfId="0" applyFont="true" applyBorder="true" applyAlignment="true" applyProtection="true">
      <alignment horizontal="center" vertical="center" textRotation="0" wrapText="true" indent="0" shrinkToFit="false"/>
      <protection locked="true" hidden="false"/>
    </xf>
    <xf numFmtId="167" fontId="23" fillId="0" borderId="2" xfId="0" applyFont="true" applyBorder="true" applyAlignment="true" applyProtection="true">
      <alignment horizontal="center" vertical="center" textRotation="0" wrapText="false" indent="0" shrinkToFit="false"/>
      <protection locked="true" hidden="false"/>
    </xf>
    <xf numFmtId="166" fontId="23" fillId="0" borderId="2" xfId="0" applyFont="true" applyBorder="true" applyAlignment="true" applyProtection="true">
      <alignment horizontal="center" vertical="center" textRotation="0" wrapText="false" indent="0" shrinkToFit="false"/>
      <protection locked="true" hidden="false"/>
    </xf>
    <xf numFmtId="164" fontId="16" fillId="0" borderId="2" xfId="0" applyFont="true" applyBorder="true" applyAlignment="true" applyProtection="true">
      <alignment horizontal="center" vertical="center" textRotation="0" wrapText="false" indent="0" shrinkToFit="false"/>
      <protection locked="true" hidden="false"/>
    </xf>
    <xf numFmtId="164" fontId="9" fillId="8" borderId="0" xfId="0" applyFont="true" applyBorder="true" applyAlignment="true" applyProtection="true">
      <alignment horizontal="left" vertical="center" textRotation="0" wrapText="true" indent="1" shrinkToFit="false"/>
      <protection locked="true" hidden="false"/>
    </xf>
    <xf numFmtId="164" fontId="9" fillId="9" borderId="0" xfId="0" applyFont="true" applyBorder="true" applyAlignment="true" applyProtection="true">
      <alignment horizontal="left" vertical="center" textRotation="0" wrapText="true" indent="1" shrinkToFit="false"/>
      <protection locked="true" hidden="false"/>
    </xf>
    <xf numFmtId="164" fontId="40" fillId="0" borderId="0" xfId="0" applyFont="true" applyBorder="true" applyAlignment="true" applyProtection="true">
      <alignment horizontal="left" vertical="center" textRotation="0" wrapText="true" indent="1" shrinkToFit="false"/>
      <protection locked="true" hidden="false"/>
    </xf>
    <xf numFmtId="164" fontId="19" fillId="0" borderId="0" xfId="0" applyFont="true" applyBorder="true" applyAlignment="true" applyProtection="true">
      <alignment horizontal="general" vertical="bottom" textRotation="0" wrapText="false" indent="0" shrinkToFit="false"/>
      <protection locked="true" hidden="false"/>
    </xf>
    <xf numFmtId="167" fontId="14" fillId="0" borderId="1" xfId="0" applyFont="true" applyBorder="true" applyAlignment="true" applyProtection="true">
      <alignment horizontal="center" vertical="center" textRotation="0" wrapText="false" indent="0" shrinkToFit="false"/>
      <protection locked="true" hidden="false"/>
    </xf>
    <xf numFmtId="164" fontId="27" fillId="5" borderId="1" xfId="0" applyFont="true" applyBorder="true" applyAlignment="true" applyProtection="true">
      <alignment horizontal="left" vertical="center" textRotation="0" wrapText="true" indent="1" shrinkToFit="false"/>
      <protection locked="true" hidden="false"/>
    </xf>
    <xf numFmtId="167" fontId="35" fillId="5" borderId="1" xfId="0" applyFont="true" applyBorder="true" applyAlignment="true" applyProtection="true">
      <alignment horizontal="center" vertical="center"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9" fillId="3" borderId="0" xfId="0" applyFont="true" applyBorder="true" applyAlignment="true" applyProtection="true">
      <alignment horizontal="left" vertical="center" textRotation="0" wrapText="false" indent="1" shrinkToFit="false"/>
      <protection locked="true" hidden="false"/>
    </xf>
    <xf numFmtId="164" fontId="41" fillId="5" borderId="0" xfId="0" applyFont="true" applyBorder="false" applyAlignment="true" applyProtection="true">
      <alignment horizontal="left" vertical="center" textRotation="0" wrapText="true" indent="1" shrinkToFit="false"/>
      <protection locked="true" hidden="false"/>
    </xf>
    <xf numFmtId="167" fontId="42" fillId="5" borderId="0" xfId="0" applyFont="true" applyBorder="false" applyAlignment="true" applyProtection="true">
      <alignment horizontal="center" vertical="center" textRotation="0" wrapText="false" indent="0" shrinkToFit="false"/>
      <protection locked="true" hidden="false"/>
    </xf>
    <xf numFmtId="167" fontId="43" fillId="0" borderId="0" xfId="0" applyFont="true" applyBorder="false" applyAlignment="true" applyProtection="true">
      <alignment horizontal="general" vertical="bottom" textRotation="0" wrapText="false" indent="0" shrinkToFit="false"/>
      <protection locked="true" hidden="false"/>
    </xf>
    <xf numFmtId="169" fontId="44" fillId="0" borderId="0" xfId="0" applyFont="true" applyBorder="false" applyAlignment="true" applyProtection="true">
      <alignment horizontal="center" vertical="center" textRotation="0" wrapText="false" indent="0" shrinkToFit="false"/>
      <protection locked="true" hidden="false"/>
    </xf>
    <xf numFmtId="169" fontId="45" fillId="0" borderId="0" xfId="0" applyFont="true" applyBorder="false" applyAlignment="true" applyProtection="true">
      <alignment horizontal="general" vertical="bottom" textRotation="0" wrapText="false" indent="0" shrinkToFit="false"/>
      <protection locked="true" hidden="false"/>
    </xf>
    <xf numFmtId="167" fontId="14" fillId="0" borderId="1" xfId="0" applyFont="true" applyBorder="true" applyAlignment="true" applyProtection="true">
      <alignment horizontal="general" vertical="bottom" textRotation="0" wrapText="false" indent="0" shrinkToFit="false"/>
      <protection locked="true" hidden="false"/>
    </xf>
    <xf numFmtId="164" fontId="46" fillId="0" borderId="0" xfId="0" applyFont="true" applyBorder="false" applyAlignment="true" applyProtection="true">
      <alignment horizontal="general" vertical="bottom" textRotation="0" wrapText="false" indent="0" shrinkToFit="false"/>
      <protection locked="true" hidden="false"/>
    </xf>
    <xf numFmtId="165" fontId="13" fillId="0" borderId="0" xfId="0" applyFont="true" applyBorder="false" applyAlignment="true" applyProtection="true">
      <alignment horizontal="center" vertical="center" textRotation="0" wrapText="false" indent="0" shrinkToFit="false"/>
      <protection locked="true" hidden="false"/>
    </xf>
    <xf numFmtId="166" fontId="30" fillId="0" borderId="0" xfId="0" applyFont="true" applyBorder="false" applyAlignment="true" applyProtection="true">
      <alignment horizontal="left" vertical="center" textRotation="0" wrapText="true" indent="1" shrinkToFit="false"/>
      <protection locked="true" hidden="false"/>
    </xf>
    <xf numFmtId="167" fontId="30" fillId="0" borderId="0" xfId="0" applyFont="true" applyBorder="false" applyAlignment="true" applyProtection="true">
      <alignment horizontal="left" vertical="center" textRotation="0" wrapText="true" indent="1" shrinkToFit="false"/>
      <protection locked="true" hidden="false"/>
    </xf>
    <xf numFmtId="173" fontId="30" fillId="0" borderId="0" xfId="0" applyFont="true" applyBorder="false" applyAlignment="true" applyProtection="true">
      <alignment horizontal="left" vertical="center" textRotation="0" wrapText="true" indent="1" shrinkToFit="false"/>
      <protection locked="true" hidden="false"/>
    </xf>
    <xf numFmtId="164" fontId="47" fillId="0" borderId="1" xfId="0" applyFont="true" applyBorder="true" applyAlignment="true" applyProtection="true">
      <alignment horizontal="center" vertical="center" textRotation="0" wrapText="false" indent="0" shrinkToFit="false"/>
      <protection locked="true" hidden="false"/>
    </xf>
    <xf numFmtId="164" fontId="47" fillId="0" borderId="1" xfId="0" applyFont="true" applyBorder="true" applyAlignment="true" applyProtection="true">
      <alignment horizontal="left" vertical="center" textRotation="0" wrapText="true" indent="1" shrinkToFit="false"/>
      <protection locked="true" hidden="false"/>
    </xf>
    <xf numFmtId="164" fontId="46" fillId="0" borderId="0" xfId="0" applyFont="true" applyBorder="false" applyAlignment="true" applyProtection="true">
      <alignment horizontal="left" vertical="center" textRotation="0" wrapText="true" indent="1" shrinkToFit="false"/>
      <protection locked="true" hidden="false"/>
    </xf>
    <xf numFmtId="167" fontId="46" fillId="0" borderId="0" xfId="0" applyFont="true" applyBorder="false" applyAlignment="true" applyProtection="true">
      <alignment horizontal="left" vertical="center" textRotation="0" wrapText="true" indent="1" shrinkToFit="false"/>
      <protection locked="true" hidden="false"/>
    </xf>
    <xf numFmtId="164" fontId="7" fillId="0" borderId="0" xfId="0" applyFont="true" applyBorder="false" applyAlignment="true" applyProtection="true">
      <alignment horizontal="center" vertical="center" textRotation="0" wrapText="false" indent="0" shrinkToFit="false"/>
      <protection locked="true" hidden="false"/>
    </xf>
    <xf numFmtId="164" fontId="48" fillId="0" borderId="0" xfId="0" applyFont="true" applyBorder="false" applyAlignment="true" applyProtection="true">
      <alignment horizontal="general" vertical="bottom" textRotation="0" wrapText="false" indent="0" shrinkToFit="false"/>
      <protection locked="true" hidden="false"/>
    </xf>
    <xf numFmtId="174" fontId="7" fillId="0" borderId="1" xfId="0" applyFont="true" applyBorder="true" applyAlignment="true" applyProtection="true">
      <alignment horizontal="center" vertical="center" textRotation="0" wrapText="false" indent="0" shrinkToFit="false"/>
      <protection locked="true" hidden="false"/>
    </xf>
    <xf numFmtId="175" fontId="7" fillId="0" borderId="1" xfId="0" applyFont="true" applyBorder="true" applyAlignment="true" applyProtection="true">
      <alignment horizontal="center" vertical="center" textRotation="0" wrapText="false" indent="0" shrinkToFit="false"/>
      <protection locked="true" hidden="false"/>
    </xf>
    <xf numFmtId="166" fontId="7" fillId="0" borderId="1" xfId="0" applyFont="true" applyBorder="true" applyAlignment="true" applyProtection="true">
      <alignment horizontal="center" vertical="center" textRotation="0" wrapText="false" indent="0" shrinkToFit="false"/>
      <protection locked="true" hidden="false"/>
    </xf>
    <xf numFmtId="176" fontId="7" fillId="0" borderId="1" xfId="0" applyFont="true" applyBorder="true" applyAlignment="true" applyProtection="true">
      <alignment horizontal="center" vertical="center" textRotation="0" wrapText="false" indent="0" shrinkToFit="false"/>
      <protection locked="true" hidden="false"/>
    </xf>
    <xf numFmtId="177" fontId="7" fillId="0" borderId="1" xfId="0" applyFont="true" applyBorder="true" applyAlignment="true" applyProtection="true">
      <alignment horizontal="center" vertical="center" textRotation="0" wrapText="false" indent="0" shrinkToFit="false"/>
      <protection locked="true" hidden="false"/>
    </xf>
    <xf numFmtId="176" fontId="35" fillId="0" borderId="1" xfId="0" applyFont="true" applyBorder="true" applyAlignment="true" applyProtection="true">
      <alignment horizontal="center" vertical="center" textRotation="0" wrapText="false" indent="0" shrinkToFit="false"/>
      <protection locked="true" hidden="false"/>
    </xf>
    <xf numFmtId="164" fontId="9" fillId="2" borderId="1" xfId="0" applyFont="true" applyBorder="true" applyAlignment="true" applyProtection="true">
      <alignment horizontal="left" vertical="center" textRotation="0" wrapText="true" indent="1" shrinkToFit="false"/>
      <protection locked="true" hidden="false"/>
    </xf>
    <xf numFmtId="176" fontId="49" fillId="3" borderId="1" xfId="0" applyFont="true" applyBorder="true" applyAlignment="true" applyProtection="true">
      <alignment horizontal="center" vertical="center" textRotation="0" wrapText="false" indent="0" shrinkToFit="false"/>
      <protection locked="true" hidden="false"/>
    </xf>
    <xf numFmtId="164" fontId="6" fillId="0" borderId="0" xfId="0" applyFont="true" applyBorder="false" applyAlignment="true" applyProtection="true">
      <alignment horizontal="left" vertical="center" textRotation="0" wrapText="true" indent="1" shrinkToFit="false"/>
      <protection locked="true" hidden="false"/>
    </xf>
    <xf numFmtId="178" fontId="50" fillId="0" borderId="0" xfId="0" applyFont="true" applyBorder="false" applyAlignment="true" applyProtection="true">
      <alignment horizontal="center" vertical="center" textRotation="0" wrapText="false" indent="0" shrinkToFit="false"/>
      <protection locked="true" hidden="false"/>
    </xf>
    <xf numFmtId="164" fontId="48" fillId="0" borderId="0" xfId="0" applyFont="true" applyBorder="true" applyAlignment="true" applyProtection="true">
      <alignment horizontal="general" vertical="bottom" textRotation="0" wrapText="false" indent="0" shrinkToFit="false"/>
      <protection locked="true" hidden="false"/>
    </xf>
    <xf numFmtId="164" fontId="48" fillId="0" borderId="0" xfId="0" applyFont="true" applyBorder="true" applyAlignment="true" applyProtection="true">
      <alignment horizontal="left" vertical="center" textRotation="0" wrapText="true" indent="1" shrinkToFit="false"/>
      <protection locked="true" hidden="false"/>
    </xf>
    <xf numFmtId="164" fontId="6" fillId="0" borderId="2" xfId="0" applyFont="true" applyBorder="true" applyAlignment="true" applyProtection="true">
      <alignment horizontal="left" vertical="center" textRotation="0" wrapText="true" indent="1" shrinkToFit="false"/>
      <protection locked="true" hidden="false"/>
    </xf>
    <xf numFmtId="166" fontId="14" fillId="0" borderId="2" xfId="0" applyFont="true" applyBorder="true" applyAlignment="true" applyProtection="true">
      <alignment horizontal="center" vertical="center" textRotation="0" wrapText="false" indent="0" shrinkToFit="false"/>
      <protection locked="true" hidden="false"/>
    </xf>
    <xf numFmtId="166" fontId="35" fillId="0" borderId="2" xfId="0" applyFont="true" applyBorder="true" applyAlignment="true" applyProtection="true">
      <alignment horizontal="center" vertical="center" textRotation="0" wrapText="false" indent="0" shrinkToFit="false"/>
      <protection locked="true" hidden="false"/>
    </xf>
    <xf numFmtId="169" fontId="47" fillId="0" borderId="2" xfId="0" applyFont="true" applyBorder="true" applyAlignment="true" applyProtection="true">
      <alignment horizontal="center" vertical="center" textRotation="0" wrapText="false" indent="0" shrinkToFit="false"/>
      <protection locked="true" hidden="false"/>
    </xf>
    <xf numFmtId="164" fontId="0" fillId="0" borderId="2" xfId="0" applyFont="false" applyBorder="true" applyAlignment="true" applyProtection="true">
      <alignment horizontal="general" vertical="bottom" textRotation="0" wrapText="false" indent="0" shrinkToFit="false"/>
      <protection locked="true" hidden="false"/>
    </xf>
    <xf numFmtId="166" fontId="51" fillId="0" borderId="2" xfId="0" applyFont="true" applyBorder="true" applyAlignment="true" applyProtection="true">
      <alignment horizontal="center" vertical="center" textRotation="0" wrapText="false" indent="0" shrinkToFit="false"/>
      <protection locked="true" hidden="false"/>
    </xf>
    <xf numFmtId="164" fontId="48" fillId="0" borderId="2" xfId="0" applyFont="true" applyBorder="true" applyAlignment="true" applyProtection="true">
      <alignment horizontal="left" vertical="center" textRotation="0" wrapText="true" indent="1" shrinkToFit="false"/>
      <protection locked="true" hidden="false"/>
    </xf>
    <xf numFmtId="166" fontId="46" fillId="0" borderId="2" xfId="0" applyFont="true" applyBorder="true" applyAlignment="true" applyProtection="true">
      <alignment horizontal="center" vertical="center" textRotation="0" wrapText="false" indent="0" shrinkToFit="false"/>
      <protection locked="true" hidden="false"/>
    </xf>
    <xf numFmtId="166" fontId="52" fillId="0" borderId="2" xfId="0" applyFont="true" applyBorder="true" applyAlignment="true" applyProtection="true">
      <alignment horizontal="center" vertical="center" textRotation="0" wrapText="false" indent="0" shrinkToFit="false"/>
      <protection locked="true" hidden="false"/>
    </xf>
    <xf numFmtId="164" fontId="12" fillId="2" borderId="0" xfId="0" applyFont="true" applyBorder="true" applyAlignment="true" applyProtection="true">
      <alignment horizontal="left" vertical="center" textRotation="0" wrapText="true" indent="1" shrinkToFit="false"/>
      <protection locked="true" hidden="false"/>
    </xf>
    <xf numFmtId="164" fontId="17" fillId="0" borderId="0" xfId="0" applyFont="true" applyBorder="true" applyAlignment="true" applyProtection="true">
      <alignment horizontal="left" vertical="center" textRotation="0" wrapText="tru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9">
    <dxf>
      <font>
        <name val="Arial"/>
        <charset val="1"/>
        <family val="0"/>
        <b val="1"/>
        <color rgb="FFFFFFFF"/>
        <sz val="20"/>
      </font>
      <fill>
        <patternFill>
          <bgColor rgb="FFE8505B"/>
        </patternFill>
      </fill>
    </dxf>
    <dxf>
      <font>
        <name val="Arial"/>
        <charset val="1"/>
        <family val="0"/>
        <b val="1"/>
        <color rgb="FFFFFFFF"/>
        <sz val="20"/>
      </font>
      <fill>
        <patternFill>
          <bgColor rgb="FFE07B39"/>
        </patternFill>
      </fill>
    </dxf>
    <dxf>
      <font>
        <name val="Arial"/>
        <charset val="1"/>
        <family val="0"/>
        <b val="1"/>
        <color rgb="FFFFFFFF"/>
        <sz val="20"/>
      </font>
      <fill>
        <patternFill>
          <bgColor rgb="FF2E9E5B"/>
        </patternFill>
      </fill>
    </dxf>
    <dxf>
      <fill>
        <patternFill patternType="solid">
          <fgColor rgb="FF1A1A2E"/>
          <bgColor rgb="FF000000"/>
        </patternFill>
      </fill>
    </dxf>
    <dxf>
      <fill>
        <patternFill patternType="solid">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2E9E5B"/>
          <bgColor rgb="FF000000"/>
        </patternFill>
      </fill>
    </dxf>
    <dxf>
      <fill>
        <patternFill patternType="solid">
          <fgColor rgb="FFE07B39"/>
          <bgColor rgb="FF000000"/>
        </patternFill>
      </fill>
    </dxf>
    <dxf>
      <fill>
        <patternFill patternType="solid">
          <fgColor rgb="FFE8505B"/>
          <bgColor rgb="FF000000"/>
        </patternFill>
      </fill>
    </dxf>
    <dxf>
      <fill>
        <patternFill patternType="solid">
          <fgColor rgb="FF000000"/>
          <bgColor rgb="FF000000"/>
        </patternFill>
      </fill>
    </dxf>
    <dxf>
      <fill>
        <patternFill patternType="solid">
          <fgColor rgb="FFFDE7E9"/>
          <bgColor rgb="FF000000"/>
        </patternFill>
      </fill>
    </dxf>
    <dxf>
      <font>
        <name val="Arial"/>
        <charset val="1"/>
        <family val="0"/>
        <b val="1"/>
        <color rgb="FFFFFFFF"/>
        <sz val="9"/>
      </font>
      <fill>
        <patternFill>
          <bgColor rgb="FFE8505B"/>
        </patternFill>
      </fill>
    </dxf>
    <dxf>
      <font>
        <name val="Arial"/>
        <charset val="1"/>
        <family val="0"/>
        <b val="1"/>
        <color rgb="FFFFFFFF"/>
        <sz val="9"/>
      </font>
      <fill>
        <patternFill>
          <bgColor rgb="FFE07B39"/>
        </patternFill>
      </fill>
    </dxf>
    <dxf>
      <font>
        <name val="Arial"/>
        <charset val="1"/>
        <family val="0"/>
        <b val="1"/>
        <color rgb="FFFFFFFF"/>
        <sz val="9"/>
      </font>
      <fill>
        <patternFill>
          <bgColor rgb="FFE8A33D"/>
        </patternFill>
      </fill>
    </dxf>
    <dxf>
      <font>
        <name val="Arial"/>
        <charset val="1"/>
        <family val="0"/>
        <b val="1"/>
        <color rgb="FFFFFFFF"/>
        <sz val="9"/>
      </font>
      <fill>
        <patternFill>
          <bgColor rgb="FF2E9E5B"/>
        </patternFill>
      </fill>
    </dxf>
    <dxf>
      <font>
        <name val="Arial"/>
        <charset val="1"/>
        <family val="0"/>
        <color rgb="FFE8505B"/>
        <sz val="9"/>
      </font>
      <fill>
        <patternFill>
          <bgColor rgb="FFFDE7E9"/>
        </patternFill>
      </fill>
    </dxf>
    <dxf>
      <font>
        <name val="Arial"/>
        <charset val="1"/>
        <family val="0"/>
        <color rgb="FF2E9E5B"/>
        <sz val="9"/>
      </font>
      <fill>
        <patternFill>
          <bgColor rgb="FFE7F5EC"/>
        </patternFill>
      </fill>
    </dxf>
    <dxf>
      <fill>
        <patternFill patternType="solid">
          <fgColor rgb="FFE8A33D"/>
          <bgColor rgb="FF000000"/>
        </patternFill>
      </fill>
    </dxf>
    <dxf>
      <fill>
        <patternFill>
          <bgColor rgb="FFFDE7E9"/>
        </patternFill>
      </fill>
    </dxf>
    <dxf>
      <font>
        <name val="Arial"/>
        <charset val="1"/>
        <family val="0"/>
        <b val="1"/>
        <color rgb="FF000000"/>
        <sz val="9"/>
      </font>
      <fill>
        <patternFill>
          <bgColor rgb="FFE8A33D"/>
        </patternFill>
      </fill>
    </dxf>
    <dxf>
      <font>
        <name val="Arial"/>
        <charset val="1"/>
        <family val="0"/>
        <b val="1"/>
        <color rgb="FFFFFFFF"/>
        <sz val="8"/>
      </font>
      <fill>
        <patternFill>
          <bgColor rgb="FFE8505B"/>
        </patternFill>
      </fill>
    </dxf>
    <dxf>
      <font>
        <name val="Arial"/>
        <charset val="1"/>
        <family val="0"/>
        <b val="1"/>
        <color rgb="FF000000"/>
        <sz val="8"/>
      </font>
      <fill>
        <patternFill>
          <bgColor rgb="FFE8A33D"/>
        </patternFill>
      </fill>
    </dxf>
    <dxf>
      <font>
        <name val="Arial"/>
        <charset val="1"/>
        <family val="0"/>
        <b val="1"/>
        <color rgb="FFFFFFFF"/>
        <sz val="8"/>
      </font>
      <fill>
        <patternFill>
          <bgColor rgb="FF2E9E5B"/>
        </patternFill>
      </fill>
    </dxf>
    <dxf>
      <font>
        <name val="Arial"/>
        <charset val="1"/>
        <family val="0"/>
        <color rgb="FFE8505B"/>
        <sz val="9"/>
      </font>
    </dxf>
    <dxf>
      <font>
        <name val="Arial"/>
        <charset val="1"/>
        <family val="0"/>
        <b val="1"/>
        <color rgb="FFFFFFFF"/>
        <sz val="10"/>
      </font>
      <fill>
        <patternFill>
          <bgColor rgb="FFE8505B"/>
        </patternFill>
      </fill>
    </dxf>
    <dxf>
      <font>
        <name val="Arial"/>
        <charset val="1"/>
        <family val="0"/>
        <b val="1"/>
        <color rgb="FFFFFFFF"/>
        <sz val="10"/>
      </font>
      <fill>
        <patternFill>
          <bgColor rgb="FFE07B39"/>
        </patternFill>
      </fill>
    </dxf>
    <dxf>
      <font>
        <name val="Arial"/>
        <charset val="1"/>
        <family val="0"/>
        <b val="1"/>
        <color rgb="FF000000"/>
        <sz val="10"/>
      </font>
      <fill>
        <patternFill>
          <bgColor rgb="FFE8A33D"/>
        </patternFill>
      </fill>
    </dxf>
    <dxf>
      <font>
        <name val="Arial"/>
        <charset val="1"/>
        <family val="0"/>
        <b val="1"/>
        <color rgb="FFFFFFFF"/>
        <sz val="8"/>
      </font>
      <fill>
        <patternFill>
          <bgColor rgb="FFE07B3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D5"/>
      <rgbColor rgb="FF808080"/>
      <rgbColor rgb="FFB0B0C8"/>
      <rgbColor rgb="FF993366"/>
      <rgbColor rgb="FFF0F0F5"/>
      <rgbColor rgb="FFE7F5EC"/>
      <rgbColor rgb="FF660066"/>
      <rgbColor rgb="FFE07B39"/>
      <rgbColor rgb="FF0066CC"/>
      <rgbColor rgb="FFD5D5DD"/>
      <rgbColor rgb="FF000080"/>
      <rgbColor rgb="FFFF00FF"/>
      <rgbColor rgb="FFFFFF00"/>
      <rgbColor rgb="FF00FFFF"/>
      <rgbColor rgb="FF800080"/>
      <rgbColor rgb="FF800000"/>
      <rgbColor rgb="FF008080"/>
      <rgbColor rgb="FF0000FF"/>
      <rgbColor rgb="FF00CCFF"/>
      <rgbColor rgb="FFCCFFFF"/>
      <rgbColor rgb="FFCCFFCC"/>
      <rgbColor rgb="FFFDE7E9"/>
      <rgbColor rgb="FF99CCFF"/>
      <rgbColor rgb="FFFF99CC"/>
      <rgbColor rgb="FFCC99FF"/>
      <rgbColor rgb="FFFFCC99"/>
      <rgbColor rgb="FF3366FF"/>
      <rgbColor rgb="FF33CCCC"/>
      <rgbColor rgb="FF99CC00"/>
      <rgbColor rgb="FFFFCC00"/>
      <rgbColor rgb="FFE8A33D"/>
      <rgbColor rgb="FFE8505B"/>
      <rgbColor rgb="FF555566"/>
      <rgbColor rgb="FF8A8A9A"/>
      <rgbColor rgb="FF003366"/>
      <rgbColor rgb="FF2E9E5B"/>
      <rgbColor rgb="FF003300"/>
      <rgbColor rgb="FF1A1A2E"/>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14"/>
    <col collapsed="false" customWidth="true" hidden="false" outlineLevel="0" max="7" min="3" style="1" width="9"/>
    <col collapsed="false" customWidth="true" hidden="false" outlineLevel="0" max="8" min="8" style="1" width="14"/>
  </cols>
  <sheetData>
    <row r="1" customFormat="false" ht="30" hidden="false" customHeight="true" outlineLevel="0" collapsed="false">
      <c r="A1" s="2" t="s">
        <v>0</v>
      </c>
      <c r="B1" s="2"/>
      <c r="C1" s="2"/>
      <c r="D1" s="2"/>
      <c r="E1" s="2"/>
      <c r="F1" s="2"/>
      <c r="G1" s="2"/>
      <c r="H1" s="2"/>
    </row>
    <row r="2" customFormat="false" ht="15" hidden="false" customHeight="true" outlineLevel="0" collapsed="false">
      <c r="A2" s="3" t="s">
        <v>1</v>
      </c>
      <c r="B2" s="3"/>
      <c r="C2" s="3"/>
      <c r="D2" s="3"/>
      <c r="E2" s="3"/>
      <c r="F2" s="3"/>
      <c r="G2" s="3"/>
      <c r="H2" s="3"/>
    </row>
    <row r="3" customFormat="false" ht="3" hidden="false" customHeight="true" outlineLevel="0" collapsed="false">
      <c r="A3" s="4"/>
      <c r="B3" s="4"/>
      <c r="C3" s="4"/>
      <c r="D3" s="4"/>
      <c r="E3" s="4"/>
      <c r="F3" s="4"/>
      <c r="G3" s="4"/>
      <c r="H3" s="4"/>
    </row>
    <row r="5" customFormat="false" ht="15" hidden="false" customHeight="true" outlineLevel="0" collapsed="false">
      <c r="B5" s="5" t="s">
        <v>2</v>
      </c>
      <c r="C5" s="6" t="s">
        <v>3</v>
      </c>
      <c r="D5" s="6"/>
      <c r="E5" s="6"/>
      <c r="G5" s="5" t="s">
        <v>4</v>
      </c>
      <c r="H5" s="7" t="n">
        <f aca="true">TODAY()</f>
        <v>46193</v>
      </c>
    </row>
    <row r="6" customFormat="false" ht="15" hidden="false" customHeight="true" outlineLevel="0" collapsed="false">
      <c r="B6" s="5" t="s">
        <v>5</v>
      </c>
      <c r="C6" s="6" t="s">
        <v>6</v>
      </c>
      <c r="D6" s="6"/>
      <c r="E6" s="6"/>
      <c r="G6" s="5" t="s">
        <v>7</v>
      </c>
      <c r="H6" s="8" t="s">
        <v>8</v>
      </c>
    </row>
    <row r="8" customFormat="false" ht="19.5" hidden="false" customHeight="true" outlineLevel="0" collapsed="false">
      <c r="B8" s="9" t="s">
        <v>9</v>
      </c>
      <c r="C8" s="9"/>
      <c r="D8" s="9"/>
      <c r="E8" s="9"/>
      <c r="F8" s="9"/>
      <c r="G8" s="9"/>
      <c r="H8" s="9"/>
    </row>
    <row r="10" customFormat="false" ht="15" hidden="false" customHeight="true" outlineLevel="0" collapsed="false">
      <c r="B10" s="10" t="s">
        <v>10</v>
      </c>
      <c r="C10" s="10"/>
      <c r="D10" s="10" t="s">
        <v>11</v>
      </c>
      <c r="E10" s="10"/>
      <c r="G10" s="10" t="s">
        <v>12</v>
      </c>
      <c r="H10" s="10"/>
    </row>
    <row r="11" customFormat="false" ht="15" hidden="false" customHeight="true" outlineLevel="0" collapsed="false">
      <c r="B11" s="11" t="n">
        <f aca="false">'9·Pattern Dashboard'!F14</f>
        <v>25</v>
      </c>
      <c r="C11" s="11"/>
      <c r="D11" s="12" t="n">
        <f aca="false">'4·Recovery Actions'!C4</f>
        <v>0.371428571428571</v>
      </c>
      <c r="E11" s="12"/>
      <c r="G11" s="12" t="n">
        <f aca="false">'5·Go-Live Readiness'!C34</f>
        <v>0.453333333333333</v>
      </c>
      <c r="H11" s="12"/>
    </row>
    <row r="12" customFormat="false" ht="15" hidden="false" customHeight="true" outlineLevel="0" collapsed="false">
      <c r="B12" s="11"/>
      <c r="C12" s="11"/>
      <c r="D12" s="12"/>
      <c r="E12" s="12"/>
      <c r="G12" s="12"/>
      <c r="H12" s="12"/>
    </row>
    <row r="13" customFormat="false" ht="15" hidden="false" customHeight="true" outlineLevel="0" collapsed="false">
      <c r="B13" s="10" t="s">
        <v>13</v>
      </c>
      <c r="C13" s="10"/>
      <c r="D13" s="10" t="s">
        <v>14</v>
      </c>
      <c r="E13" s="10"/>
      <c r="G13" s="10" t="s">
        <v>15</v>
      </c>
      <c r="H13" s="10"/>
    </row>
    <row r="14" customFormat="false" ht="15" hidden="false" customHeight="true" outlineLevel="0" collapsed="false">
      <c r="B14" s="13" t="n">
        <f aca="false">'8·Financial Exposure'!C22</f>
        <v>7900254.04157044</v>
      </c>
      <c r="C14" s="13"/>
      <c r="D14" s="11" t="n">
        <f aca="false">COUNTIFS('2·RAID Register'!$C$6:$C$200,"Risk",'2·RAID Register'!$G$6:$G$200,"Critical",'2·RAID Register'!$H$6:$H$200,"Open")</f>
        <v>2</v>
      </c>
      <c r="E14" s="11"/>
      <c r="G14" s="11" t="n">
        <f aca="false">COUNTIF('3·Decision Log'!$K$6:$K$200,"OVERDUE")</f>
        <v>0</v>
      </c>
      <c r="H14" s="11"/>
    </row>
    <row r="15" customFormat="false" ht="15" hidden="false" customHeight="true" outlineLevel="0" collapsed="false">
      <c r="B15" s="13"/>
      <c r="C15" s="13"/>
      <c r="D15" s="11"/>
      <c r="E15" s="11"/>
      <c r="G15" s="11"/>
      <c r="H15" s="11"/>
    </row>
    <row r="17" customFormat="false" ht="19.5" hidden="false" customHeight="true" outlineLevel="0" collapsed="false">
      <c r="B17" s="9" t="s">
        <v>16</v>
      </c>
      <c r="C17" s="9"/>
      <c r="D17" s="9"/>
      <c r="E17" s="9"/>
      <c r="F17" s="9"/>
      <c r="G17" s="9"/>
      <c r="H17" s="9"/>
    </row>
    <row r="18" customFormat="false" ht="15" hidden="false" customHeight="true" outlineLevel="0" collapsed="false">
      <c r="B18" s="14" t="s">
        <v>17</v>
      </c>
      <c r="C18" s="14" t="s">
        <v>18</v>
      </c>
      <c r="D18" s="14" t="s">
        <v>19</v>
      </c>
      <c r="E18" s="14" t="s">
        <v>20</v>
      </c>
      <c r="F18" s="14" t="s">
        <v>21</v>
      </c>
      <c r="G18" s="14" t="s">
        <v>22</v>
      </c>
    </row>
    <row r="19" customFormat="false" ht="15" hidden="false" customHeight="true" outlineLevel="0" collapsed="false">
      <c r="B19" s="15" t="s">
        <v>23</v>
      </c>
      <c r="C19" s="16" t="n">
        <v>18</v>
      </c>
      <c r="D19" s="16" t="n">
        <v>24</v>
      </c>
      <c r="E19" s="16" t="n">
        <v>26</v>
      </c>
      <c r="F19" s="17" t="n">
        <f aca="false">'9·Pattern Dashboard'!F14</f>
        <v>25</v>
      </c>
      <c r="G19" s="18" t="str">
        <f aca="false">IF(F19&gt;E19,"▲ up",IF(F19&lt;E19,"▼ dn","= flat"))</f>
        <v>▼ dn</v>
      </c>
    </row>
    <row r="20" customFormat="false" ht="15" hidden="false" customHeight="true" outlineLevel="0" collapsed="false">
      <c r="B20" s="15" t="s">
        <v>24</v>
      </c>
      <c r="C20" s="16" t="n">
        <v>14</v>
      </c>
      <c r="D20" s="16" t="n">
        <v>12</v>
      </c>
      <c r="E20" s="16" t="n">
        <v>11</v>
      </c>
      <c r="F20" s="19" t="n">
        <f aca="false">COUNTIFS('2·RAID Register'!$C$6:$C$200,"Risk",'2·RAID Register'!$H$6:$H$200,"Open")</f>
        <v>3</v>
      </c>
      <c r="G20" s="18" t="str">
        <f aca="false">IF(F20&gt;E20,"▲ up",IF(F20&lt;E20,"▼ dn","= flat"))</f>
        <v>▼ dn</v>
      </c>
    </row>
    <row r="21" customFormat="false" ht="15" hidden="false" customHeight="true" outlineLevel="0" collapsed="false">
      <c r="B21" s="15" t="s">
        <v>25</v>
      </c>
      <c r="C21" s="16" t="n">
        <v>9</v>
      </c>
      <c r="D21" s="16" t="n">
        <v>8</v>
      </c>
      <c r="E21" s="16" t="n">
        <v>6</v>
      </c>
      <c r="F21" s="19" t="n">
        <f aca="false">COUNTIF('3·Decision Log'!$I$6:$I$200,"Open")</f>
        <v>3</v>
      </c>
      <c r="G21" s="18" t="str">
        <f aca="false">IF(F21&gt;E21,"▲ up",IF(F21&lt;E21,"▼ dn","= flat"))</f>
        <v>▼ dn</v>
      </c>
    </row>
    <row r="22" customFormat="false" ht="15" hidden="false" customHeight="true" outlineLevel="0" collapsed="false">
      <c r="B22" s="15" t="s">
        <v>26</v>
      </c>
      <c r="C22" s="16" t="n">
        <v>10</v>
      </c>
      <c r="D22" s="16" t="n">
        <v>18</v>
      </c>
      <c r="E22" s="16" t="n">
        <v>25</v>
      </c>
      <c r="F22" s="19" t="n">
        <f aca="false">ROUND('4·Recovery Actions'!C4*100,0)</f>
        <v>37</v>
      </c>
      <c r="G22" s="18" t="str">
        <f aca="false">IF(F22&gt;E22,"▲ up",IF(F22&lt;E22,"▼ dn","= flat"))</f>
        <v>▲ up</v>
      </c>
    </row>
    <row r="24" customFormat="false" ht="15" hidden="false" customHeight="true" outlineLevel="0" collapsed="false">
      <c r="B24" s="20" t="s">
        <v>27</v>
      </c>
      <c r="C24" s="21" t="s">
        <v>28</v>
      </c>
      <c r="D24" s="21"/>
      <c r="E24" s="21"/>
      <c r="F24" s="21"/>
      <c r="G24" s="21"/>
      <c r="H24" s="21"/>
    </row>
  </sheetData>
  <mergeCells count="20">
    <mergeCell ref="A1:H1"/>
    <mergeCell ref="A2:H2"/>
    <mergeCell ref="A3:H3"/>
    <mergeCell ref="C5:E5"/>
    <mergeCell ref="C6:E6"/>
    <mergeCell ref="B8:H8"/>
    <mergeCell ref="B10:C10"/>
    <mergeCell ref="D10:E10"/>
    <mergeCell ref="G10:H10"/>
    <mergeCell ref="B11:C12"/>
    <mergeCell ref="D11:E12"/>
    <mergeCell ref="G11:H12"/>
    <mergeCell ref="B13:C13"/>
    <mergeCell ref="D13:E13"/>
    <mergeCell ref="G13:H13"/>
    <mergeCell ref="B14:C15"/>
    <mergeCell ref="D14:E15"/>
    <mergeCell ref="G14:H15"/>
    <mergeCell ref="B17:H17"/>
    <mergeCell ref="C24:H24"/>
  </mergeCells>
  <conditionalFormatting sqref="B11">
    <cfRule type="cellIs" priority="2" operator="lessThan" aboveAverage="0" equalAverage="0" bottom="0" percent="0" rank="0" text="" dxfId="0">
      <formula>25</formula>
    </cfRule>
    <cfRule type="cellIs" priority="3" operator="between" aboveAverage="0" equalAverage="0" bottom="0" percent="0" rank="0" text="" dxfId="1">
      <formula>25</formula>
      <formula>49.999</formula>
    </cfRule>
    <cfRule type="cellIs" priority="4" operator="greaterThanOrEqual" aboveAverage="0" equalAverage="0" bottom="0" percent="0" rank="0" text="" dxfId="2">
      <formula>50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6" min="2" style="1" width="22"/>
    <col collapsed="false" customWidth="true" hidden="false" outlineLevel="0" max="7" min="7" style="1" width="3"/>
  </cols>
  <sheetData>
    <row r="2" customFormat="false" ht="30" hidden="false" customHeight="true" outlineLevel="0" collapsed="false">
      <c r="B2" s="22" t="s">
        <v>29</v>
      </c>
      <c r="C2" s="22"/>
      <c r="D2" s="22"/>
      <c r="E2" s="22"/>
      <c r="F2" s="22"/>
    </row>
    <row r="3" customFormat="false" ht="42" hidden="false" customHeight="true" outlineLevel="0" collapsed="false">
      <c r="B3" s="23" t="s">
        <v>30</v>
      </c>
      <c r="C3" s="23"/>
      <c r="D3" s="23"/>
      <c r="E3" s="23"/>
      <c r="F3" s="23"/>
    </row>
    <row r="5" customFormat="false" ht="19.5" hidden="false" customHeight="true" outlineLevel="0" collapsed="false">
      <c r="B5" s="24" t="s">
        <v>31</v>
      </c>
      <c r="C5" s="24"/>
      <c r="D5" s="24"/>
      <c r="E5" s="24"/>
      <c r="F5" s="24"/>
    </row>
    <row r="6" customFormat="false" ht="39.75" hidden="false" customHeight="true" outlineLevel="0" collapsed="false">
      <c r="B6" s="25" t="s">
        <v>32</v>
      </c>
      <c r="C6" s="25"/>
      <c r="D6" s="25"/>
      <c r="E6" s="25"/>
      <c r="F6" s="25"/>
    </row>
    <row r="7" customFormat="false" ht="30" hidden="false" customHeight="true" outlineLevel="0" collapsed="false">
      <c r="B7" s="26" t="s">
        <v>33</v>
      </c>
      <c r="C7" s="26"/>
      <c r="D7" s="26"/>
      <c r="E7" s="26"/>
      <c r="F7" s="26"/>
    </row>
    <row r="9" customFormat="false" ht="19.5" hidden="false" customHeight="true" outlineLevel="0" collapsed="false">
      <c r="B9" s="27" t="s">
        <v>34</v>
      </c>
      <c r="C9" s="27"/>
      <c r="D9" s="27"/>
      <c r="E9" s="27"/>
      <c r="F9" s="27"/>
    </row>
    <row r="10" customFormat="false" ht="15" hidden="false" customHeight="true" outlineLevel="0" collapsed="false">
      <c r="B10" s="28" t="s">
        <v>35</v>
      </c>
      <c r="C10" s="28" t="s">
        <v>36</v>
      </c>
      <c r="D10" s="29" t="s">
        <v>37</v>
      </c>
      <c r="E10" s="29"/>
    </row>
    <row r="11" customFormat="false" ht="31.5" hidden="false" customHeight="true" outlineLevel="0" collapsed="false">
      <c r="B11" s="30" t="s">
        <v>38</v>
      </c>
      <c r="C11" s="31" t="s">
        <v>39</v>
      </c>
      <c r="D11" s="32" t="s">
        <v>40</v>
      </c>
      <c r="E11" s="32"/>
    </row>
    <row r="12" customFormat="false" ht="31.5" hidden="false" customHeight="true" outlineLevel="0" collapsed="false">
      <c r="B12" s="30" t="s">
        <v>41</v>
      </c>
      <c r="C12" s="31" t="s">
        <v>42</v>
      </c>
      <c r="D12" s="32" t="s">
        <v>43</v>
      </c>
      <c r="E12" s="32"/>
    </row>
    <row r="13" customFormat="false" ht="31.5" hidden="false" customHeight="true" outlineLevel="0" collapsed="false">
      <c r="B13" s="30" t="s">
        <v>44</v>
      </c>
      <c r="C13" s="31" t="s">
        <v>45</v>
      </c>
      <c r="D13" s="32" t="s">
        <v>46</v>
      </c>
      <c r="E13" s="32"/>
    </row>
    <row r="14" customFormat="false" ht="31.5" hidden="false" customHeight="true" outlineLevel="0" collapsed="false">
      <c r="B14" s="30" t="s">
        <v>47</v>
      </c>
      <c r="C14" s="31" t="s">
        <v>48</v>
      </c>
      <c r="D14" s="32" t="s">
        <v>49</v>
      </c>
      <c r="E14" s="32"/>
    </row>
    <row r="15" customFormat="false" ht="31.5" hidden="false" customHeight="true" outlineLevel="0" collapsed="false">
      <c r="B15" s="30" t="s">
        <v>50</v>
      </c>
      <c r="C15" s="31" t="s">
        <v>51</v>
      </c>
      <c r="D15" s="32" t="s">
        <v>52</v>
      </c>
      <c r="E15" s="32"/>
    </row>
    <row r="17" customFormat="false" ht="19.5" hidden="false" customHeight="true" outlineLevel="0" collapsed="false">
      <c r="B17" s="24" t="s">
        <v>53</v>
      </c>
      <c r="C17" s="24"/>
      <c r="D17" s="24"/>
      <c r="E17" s="24"/>
      <c r="F17" s="24"/>
    </row>
    <row r="18" customFormat="false" ht="39.75" hidden="false" customHeight="true" outlineLevel="0" collapsed="false">
      <c r="B18" s="33" t="s">
        <v>54</v>
      </c>
      <c r="C18" s="32" t="s">
        <v>55</v>
      </c>
      <c r="D18" s="32"/>
      <c r="E18" s="32"/>
      <c r="F18" s="32"/>
    </row>
    <row r="19" customFormat="false" ht="39.75" hidden="false" customHeight="true" outlineLevel="0" collapsed="false">
      <c r="B19" s="33" t="s">
        <v>54</v>
      </c>
      <c r="C19" s="32" t="s">
        <v>56</v>
      </c>
      <c r="D19" s="32"/>
      <c r="E19" s="32"/>
      <c r="F19" s="32"/>
    </row>
    <row r="20" customFormat="false" ht="39.75" hidden="false" customHeight="true" outlineLevel="0" collapsed="false">
      <c r="B20" s="33" t="s">
        <v>57</v>
      </c>
      <c r="C20" s="32" t="s">
        <v>58</v>
      </c>
      <c r="D20" s="32"/>
      <c r="E20" s="32"/>
      <c r="F20" s="32"/>
    </row>
    <row r="21" customFormat="false" ht="39.75" hidden="false" customHeight="true" outlineLevel="0" collapsed="false">
      <c r="B21" s="33" t="s">
        <v>57</v>
      </c>
      <c r="C21" s="32" t="s">
        <v>59</v>
      </c>
      <c r="D21" s="32"/>
      <c r="E21" s="32"/>
      <c r="F21" s="32"/>
    </row>
    <row r="22" customFormat="false" ht="39.75" hidden="false" customHeight="true" outlineLevel="0" collapsed="false">
      <c r="B22" s="33" t="s">
        <v>60</v>
      </c>
      <c r="C22" s="32" t="s">
        <v>61</v>
      </c>
      <c r="D22" s="32"/>
      <c r="E22" s="32"/>
      <c r="F22" s="32"/>
    </row>
    <row r="23" customFormat="false" ht="39.75" hidden="false" customHeight="true" outlineLevel="0" collapsed="false">
      <c r="B23" s="33" t="s">
        <v>62</v>
      </c>
      <c r="C23" s="32" t="s">
        <v>63</v>
      </c>
      <c r="D23" s="32"/>
      <c r="E23" s="32"/>
      <c r="F23" s="32"/>
    </row>
    <row r="25" customFormat="false" ht="19.5" hidden="false" customHeight="true" outlineLevel="0" collapsed="false">
      <c r="B25" s="34" t="s">
        <v>64</v>
      </c>
      <c r="C25" s="34"/>
      <c r="D25" s="34"/>
      <c r="E25" s="34"/>
      <c r="F25" s="34"/>
    </row>
    <row r="26" customFormat="false" ht="15" hidden="false" customHeight="false" outlineLevel="0" collapsed="false">
      <c r="B26" s="28" t="s">
        <v>65</v>
      </c>
      <c r="C26" s="28" t="s">
        <v>66</v>
      </c>
      <c r="D26" s="28" t="s">
        <v>67</v>
      </c>
      <c r="E26" s="28" t="s">
        <v>68</v>
      </c>
      <c r="F26" s="28" t="s">
        <v>69</v>
      </c>
    </row>
    <row r="27" customFormat="false" ht="15" hidden="false" customHeight="false" outlineLevel="0" collapsed="false">
      <c r="B27" s="30" t="s">
        <v>70</v>
      </c>
      <c r="C27" s="35" t="s">
        <v>71</v>
      </c>
      <c r="D27" s="35" t="s">
        <v>72</v>
      </c>
      <c r="E27" s="35" t="s">
        <v>73</v>
      </c>
      <c r="F27" s="36" t="s">
        <v>74</v>
      </c>
    </row>
    <row r="28" customFormat="false" ht="15" hidden="false" customHeight="false" outlineLevel="0" collapsed="false">
      <c r="B28" s="30" t="s">
        <v>75</v>
      </c>
      <c r="C28" s="35" t="s">
        <v>76</v>
      </c>
      <c r="D28" s="35" t="s">
        <v>77</v>
      </c>
      <c r="E28" s="35" t="s">
        <v>78</v>
      </c>
      <c r="F28" s="36" t="s">
        <v>79</v>
      </c>
    </row>
    <row r="29" customFormat="false" ht="15" hidden="false" customHeight="false" outlineLevel="0" collapsed="false">
      <c r="B29" s="30" t="s">
        <v>80</v>
      </c>
      <c r="C29" s="35" t="s">
        <v>76</v>
      </c>
      <c r="D29" s="35" t="s">
        <v>81</v>
      </c>
      <c r="E29" s="35" t="s">
        <v>79</v>
      </c>
      <c r="F29" s="36" t="s">
        <v>82</v>
      </c>
    </row>
    <row r="30" customFormat="false" ht="15" hidden="false" customHeight="false" outlineLevel="0" collapsed="false">
      <c r="B30" s="30" t="s">
        <v>83</v>
      </c>
      <c r="C30" s="35" t="s">
        <v>84</v>
      </c>
      <c r="D30" s="35" t="s">
        <v>85</v>
      </c>
      <c r="E30" s="35" t="s">
        <v>86</v>
      </c>
      <c r="F30" s="36" t="s">
        <v>87</v>
      </c>
    </row>
    <row r="31" customFormat="false" ht="15" hidden="false" customHeight="false" outlineLevel="0" collapsed="false">
      <c r="B31" s="30" t="s">
        <v>88</v>
      </c>
      <c r="C31" s="35" t="s">
        <v>39</v>
      </c>
      <c r="D31" s="35" t="s">
        <v>89</v>
      </c>
      <c r="E31" s="35" t="s">
        <v>90</v>
      </c>
      <c r="F31" s="36" t="s">
        <v>91</v>
      </c>
    </row>
    <row r="32" customFormat="false" ht="15" hidden="false" customHeight="false" outlineLevel="0" collapsed="false">
      <c r="B32" s="30" t="s">
        <v>92</v>
      </c>
      <c r="C32" s="35" t="s">
        <v>93</v>
      </c>
      <c r="D32" s="35" t="s">
        <v>94</v>
      </c>
      <c r="E32" s="35" t="s">
        <v>95</v>
      </c>
      <c r="F32" s="36" t="s">
        <v>96</v>
      </c>
    </row>
    <row r="34" customFormat="false" ht="19.5" hidden="false" customHeight="true" outlineLevel="0" collapsed="false">
      <c r="B34" s="24" t="s">
        <v>97</v>
      </c>
      <c r="C34" s="24"/>
      <c r="D34" s="24"/>
      <c r="E34" s="24"/>
      <c r="F34" s="24"/>
    </row>
    <row r="35" customFormat="false" ht="63.75" hidden="false" customHeight="true" outlineLevel="0" collapsed="false">
      <c r="B35" s="37" t="s">
        <v>98</v>
      </c>
      <c r="C35" s="37"/>
      <c r="D35" s="37"/>
      <c r="E35" s="37"/>
      <c r="F35" s="37"/>
    </row>
    <row r="37" customFormat="false" ht="30" hidden="false" customHeight="true" outlineLevel="0" collapsed="false">
      <c r="B37" s="38" t="s">
        <v>99</v>
      </c>
      <c r="C37" s="38"/>
      <c r="D37" s="38"/>
      <c r="E37" s="38"/>
      <c r="F37" s="38"/>
    </row>
  </sheetData>
  <mergeCells count="23">
    <mergeCell ref="B2:F2"/>
    <mergeCell ref="B3:F3"/>
    <mergeCell ref="B5:F5"/>
    <mergeCell ref="B6:F6"/>
    <mergeCell ref="B7:F7"/>
    <mergeCell ref="B9:F9"/>
    <mergeCell ref="D10:E10"/>
    <mergeCell ref="D11:E11"/>
    <mergeCell ref="D12:E12"/>
    <mergeCell ref="D13:E13"/>
    <mergeCell ref="D14:E14"/>
    <mergeCell ref="D15:E15"/>
    <mergeCell ref="B17:F17"/>
    <mergeCell ref="C18:F18"/>
    <mergeCell ref="C19:F19"/>
    <mergeCell ref="C20:F20"/>
    <mergeCell ref="C21:F21"/>
    <mergeCell ref="C22:F22"/>
    <mergeCell ref="C23:F23"/>
    <mergeCell ref="B25:F25"/>
    <mergeCell ref="B34:F34"/>
    <mergeCell ref="B35:F35"/>
    <mergeCell ref="B37:F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7"/>
    <col collapsed="false" customWidth="true" hidden="false" outlineLevel="0" max="3" min="3" style="1" width="12"/>
    <col collapsed="false" customWidth="true" hidden="false" outlineLevel="0" max="4" min="4" style="1" width="40"/>
    <col collapsed="false" customWidth="true" hidden="false" outlineLevel="0" max="5" min="5" style="1" width="12"/>
    <col collapsed="false" customWidth="true" hidden="false" outlineLevel="0" max="7" min="6" style="1" width="11"/>
    <col collapsed="false" customWidth="true" hidden="false" outlineLevel="0" max="8" min="8" style="1" width="12"/>
    <col collapsed="false" customWidth="true" hidden="false" outlineLevel="0" max="9" min="9" style="1" width="16"/>
    <col collapsed="false" customWidth="true" hidden="false" outlineLevel="0" max="10" min="10" style="1" width="30"/>
    <col collapsed="false" customWidth="true" hidden="false" outlineLevel="0" max="11" min="11" style="1" width="10"/>
    <col collapsed="false" customWidth="true" hidden="false" outlineLevel="0" max="12" min="12" style="1" width="20"/>
    <col collapsed="false" customWidth="true" hidden="true" outlineLevel="0" max="14" min="14" style="1" width="13"/>
  </cols>
  <sheetData>
    <row r="1" customFormat="false" ht="30" hidden="false" customHeight="true" outlineLevel="0" collapsed="false">
      <c r="A1" s="2" t="s">
        <v>100</v>
      </c>
      <c r="B1" s="2"/>
      <c r="C1" s="2"/>
      <c r="D1" s="2"/>
      <c r="E1" s="2"/>
      <c r="F1" s="2"/>
      <c r="G1" s="2"/>
      <c r="H1" s="2"/>
      <c r="I1" s="2"/>
      <c r="J1" s="2"/>
      <c r="K1" s="2"/>
    </row>
    <row r="2" customFormat="false" ht="15" hidden="false" customHeight="true" outlineLevel="0" collapsed="false">
      <c r="A2" s="3" t="s">
        <v>101</v>
      </c>
      <c r="B2" s="3"/>
      <c r="C2" s="3"/>
      <c r="D2" s="3"/>
      <c r="E2" s="3"/>
      <c r="F2" s="3"/>
      <c r="G2" s="3"/>
      <c r="H2" s="3"/>
      <c r="I2" s="3"/>
      <c r="J2" s="3"/>
      <c r="K2" s="3"/>
    </row>
    <row r="3" customFormat="false" ht="3" hidden="false" customHeight="true" outlineLevel="0" collapsed="false">
      <c r="A3" s="4"/>
      <c r="B3" s="4"/>
      <c r="C3" s="4"/>
      <c r="D3" s="4"/>
      <c r="E3" s="4"/>
      <c r="F3" s="4"/>
      <c r="G3" s="4"/>
      <c r="H3" s="4"/>
      <c r="I3" s="4"/>
      <c r="J3" s="4"/>
      <c r="K3" s="4"/>
    </row>
    <row r="4" customFormat="false" ht="15" hidden="false" customHeight="true" outlineLevel="0" collapsed="false">
      <c r="B4" s="5" t="s">
        <v>102</v>
      </c>
      <c r="C4" s="39" t="s">
        <v>103</v>
      </c>
      <c r="D4" s="39"/>
      <c r="E4" s="39"/>
      <c r="F4" s="39"/>
      <c r="G4" s="39"/>
      <c r="H4" s="39"/>
      <c r="I4" s="39"/>
      <c r="J4" s="39"/>
      <c r="K4" s="39"/>
    </row>
    <row r="5" customFormat="false" ht="15" hidden="false" customHeight="true" outlineLevel="0" collapsed="false">
      <c r="B5" s="14" t="s">
        <v>104</v>
      </c>
      <c r="C5" s="14" t="s">
        <v>105</v>
      </c>
      <c r="D5" s="14" t="s">
        <v>106</v>
      </c>
      <c r="E5" s="14" t="s">
        <v>107</v>
      </c>
      <c r="F5" s="14" t="s">
        <v>108</v>
      </c>
      <c r="G5" s="14" t="s">
        <v>109</v>
      </c>
      <c r="H5" s="14" t="s">
        <v>110</v>
      </c>
      <c r="I5" s="14" t="s">
        <v>111</v>
      </c>
      <c r="J5" s="14" t="s">
        <v>112</v>
      </c>
      <c r="K5" s="14" t="s">
        <v>113</v>
      </c>
      <c r="L5" s="40" t="s">
        <v>114</v>
      </c>
      <c r="N5" s="41" t="s">
        <v>115</v>
      </c>
    </row>
    <row r="6" customFormat="false" ht="21.75" hidden="false" customHeight="true" outlineLevel="0" collapsed="false">
      <c r="B6" s="16" t="s">
        <v>116</v>
      </c>
      <c r="C6" s="16" t="s">
        <v>117</v>
      </c>
      <c r="D6" s="42" t="s">
        <v>118</v>
      </c>
      <c r="E6" s="16" t="s">
        <v>119</v>
      </c>
      <c r="F6" s="16" t="s">
        <v>120</v>
      </c>
      <c r="G6" s="18" t="str">
        <f aca="false">IFERROR(IF((MATCH(E6,{"Low","Medium","High"},0))*(MATCH(F6,{"Low","Medium","High","Critical"},0))&gt;=9,"Critical",IF((MATCH(E6,{"Low","Medium","High"},0))*(MATCH(F6,{"Low","Medium","High","Critical"},0))&gt;=6,"High",IF((MATCH(E6,{"Low","Medium","High"},0))*(MATCH(F6,{"Low","Medium","High","Critical"},0))&gt;=3,"Medium","Low"))),"")</f>
        <v>Critical</v>
      </c>
      <c r="H6" s="16" t="s">
        <v>121</v>
      </c>
      <c r="I6" s="42" t="s">
        <v>122</v>
      </c>
      <c r="J6" s="42" t="s">
        <v>123</v>
      </c>
      <c r="K6" s="43" t="s">
        <v>124</v>
      </c>
      <c r="L6" s="44" t="s">
        <v>125</v>
      </c>
      <c r="N6" s="45" t="n">
        <f aca="false">IF(AND($C6="Risk",$H6="Open",$G6="Critical"),COUNTIFS($C$6:$C6,"Risk",$H$6:$H6,"Open",$G$6:$G6,"Critical"),"")</f>
        <v>1</v>
      </c>
    </row>
    <row r="7" customFormat="false" ht="21.75" hidden="false" customHeight="true" outlineLevel="0" collapsed="false">
      <c r="B7" s="16" t="s">
        <v>126</v>
      </c>
      <c r="C7" s="16" t="s">
        <v>117</v>
      </c>
      <c r="D7" s="42" t="s">
        <v>127</v>
      </c>
      <c r="E7" s="16" t="s">
        <v>119</v>
      </c>
      <c r="F7" s="16" t="s">
        <v>120</v>
      </c>
      <c r="G7" s="18" t="str">
        <f aca="false">IFERROR(IF((MATCH(E7,{"Low","Medium","High"},0))*(MATCH(F7,{"Low","Medium","High","Critical"},0))&gt;=9,"Critical",IF((MATCH(E7,{"Low","Medium","High"},0))*(MATCH(F7,{"Low","Medium","High","Critical"},0))&gt;=6,"High",IF((MATCH(E7,{"Low","Medium","High"},0))*(MATCH(F7,{"Low","Medium","High","Critical"},0))&gt;=3,"Medium","Low"))),"")</f>
        <v>Critical</v>
      </c>
      <c r="H7" s="16" t="s">
        <v>121</v>
      </c>
      <c r="I7" s="42" t="s">
        <v>128</v>
      </c>
      <c r="J7" s="42" t="s">
        <v>129</v>
      </c>
      <c r="K7" s="43" t="s">
        <v>130</v>
      </c>
      <c r="L7" s="44" t="s">
        <v>131</v>
      </c>
      <c r="N7" s="45" t="n">
        <f aca="false">IF(AND($C7="Risk",$H7="Open",$G7="Critical"),COUNTIFS($C$6:$C7,"Risk",$H$6:$H7,"Open",$G$6:$G7,"Critical"),"")</f>
        <v>2</v>
      </c>
    </row>
    <row r="8" customFormat="false" ht="21.75" hidden="false" customHeight="true" outlineLevel="0" collapsed="false">
      <c r="B8" s="16" t="s">
        <v>132</v>
      </c>
      <c r="C8" s="16" t="s">
        <v>117</v>
      </c>
      <c r="D8" s="42" t="s">
        <v>133</v>
      </c>
      <c r="E8" s="16" t="s">
        <v>134</v>
      </c>
      <c r="F8" s="16" t="s">
        <v>119</v>
      </c>
      <c r="G8" s="18" t="str">
        <f aca="false">IFERROR(IF((MATCH(E8,{"Low","Medium","High"},0))*(MATCH(F8,{"Low","Medium","High","Critical"},0))&gt;=9,"Critical",IF((MATCH(E8,{"Low","Medium","High"},0))*(MATCH(F8,{"Low","Medium","High","Critical"},0))&gt;=6,"High",IF((MATCH(E8,{"Low","Medium","High"},0))*(MATCH(F8,{"Low","Medium","High","Critical"},0))&gt;=3,"Medium","Low"))),"")</f>
        <v>High</v>
      </c>
      <c r="H8" s="16" t="s">
        <v>121</v>
      </c>
      <c r="I8" s="42" t="s">
        <v>135</v>
      </c>
      <c r="J8" s="42" t="s">
        <v>136</v>
      </c>
      <c r="K8" s="43" t="s">
        <v>137</v>
      </c>
      <c r="L8" s="44" t="s">
        <v>138</v>
      </c>
      <c r="N8" s="45" t="str">
        <f aca="false">IF(AND($C8="Risk",$H8="Open",$G8="Critical"),COUNTIFS($C$6:$C8,"Risk",$H$6:$H8,"Open",$G$6:$G8,"Critical"),"")</f>
        <v/>
      </c>
    </row>
    <row r="9" customFormat="false" ht="21.75" hidden="false" customHeight="true" outlineLevel="0" collapsed="false">
      <c r="B9" s="16" t="s">
        <v>139</v>
      </c>
      <c r="C9" s="16" t="s">
        <v>140</v>
      </c>
      <c r="D9" s="42" t="s">
        <v>141</v>
      </c>
      <c r="E9" s="16" t="s">
        <v>134</v>
      </c>
      <c r="F9" s="16" t="s">
        <v>119</v>
      </c>
      <c r="G9" s="18" t="str">
        <f aca="false">IFERROR(IF((MATCH(E9,{"Low","Medium","High"},0))*(MATCH(F9,{"Low","Medium","High","Critical"},0))&gt;=9,"Critical",IF((MATCH(E9,{"Low","Medium","High"},0))*(MATCH(F9,{"Low","Medium","High","Critical"},0))&gt;=6,"High",IF((MATCH(E9,{"Low","Medium","High"},0))*(MATCH(F9,{"Low","Medium","High","Critical"},0))&gt;=3,"Medium","Low"))),"")</f>
        <v>High</v>
      </c>
      <c r="H9" s="16" t="s">
        <v>121</v>
      </c>
      <c r="I9" s="42" t="s">
        <v>142</v>
      </c>
      <c r="J9" s="42" t="s">
        <v>143</v>
      </c>
      <c r="K9" s="43" t="s">
        <v>144</v>
      </c>
      <c r="L9" s="44" t="s">
        <v>145</v>
      </c>
      <c r="N9" s="45" t="str">
        <f aca="false">IF(AND($C9="Risk",$H9="Open",$G9="Critical"),COUNTIFS($C$6:$C9,"Risk",$H$6:$H9,"Open",$G$6:$G9,"Critical"),"")</f>
        <v/>
      </c>
    </row>
    <row r="10" customFormat="false" ht="21.75" hidden="false" customHeight="true" outlineLevel="0" collapsed="false">
      <c r="B10" s="16" t="s">
        <v>146</v>
      </c>
      <c r="C10" s="16" t="s">
        <v>140</v>
      </c>
      <c r="D10" s="42" t="s">
        <v>147</v>
      </c>
      <c r="E10" s="16" t="s">
        <v>148</v>
      </c>
      <c r="F10" s="16" t="s">
        <v>134</v>
      </c>
      <c r="G10" s="18" t="str">
        <f aca="false">IFERROR(IF((MATCH(E10,{"Low","Medium","High"},0))*(MATCH(F10,{"Low","Medium","High","Critical"},0))&gt;=9,"Critical",IF((MATCH(E10,{"Low","Medium","High"},0))*(MATCH(F10,{"Low","Medium","High","Critical"},0))&gt;=6,"High",IF((MATCH(E10,{"Low","Medium","High"},0))*(MATCH(F10,{"Low","Medium","High","Critical"},0))&gt;=3,"Medium","Low"))),"")</f>
        <v>Low</v>
      </c>
      <c r="H10" s="16" t="s">
        <v>121</v>
      </c>
      <c r="I10" s="42" t="s">
        <v>149</v>
      </c>
      <c r="J10" s="42" t="s">
        <v>150</v>
      </c>
      <c r="K10" s="43" t="s">
        <v>151</v>
      </c>
      <c r="L10" s="44" t="s">
        <v>125</v>
      </c>
      <c r="N10" s="45" t="str">
        <f aca="false">IF(AND($C10="Risk",$H10="Open",$G10="Critical"),COUNTIFS($C$6:$C10,"Risk",$H$6:$H10,"Open",$G$6:$G10,"Critical"),"")</f>
        <v/>
      </c>
    </row>
    <row r="11" customFormat="false" ht="21.75" hidden="false" customHeight="true" outlineLevel="0" collapsed="false">
      <c r="B11" s="16" t="s">
        <v>152</v>
      </c>
      <c r="C11" s="16" t="s">
        <v>153</v>
      </c>
      <c r="D11" s="42" t="s">
        <v>154</v>
      </c>
      <c r="E11" s="16" t="s">
        <v>119</v>
      </c>
      <c r="F11" s="16" t="s">
        <v>120</v>
      </c>
      <c r="G11" s="18" t="str">
        <f aca="false">IFERROR(IF((MATCH(E11,{"Low","Medium","High"},0))*(MATCH(F11,{"Low","Medium","High","Critical"},0))&gt;=9,"Critical",IF((MATCH(E11,{"Low","Medium","High"},0))*(MATCH(F11,{"Low","Medium","High","Critical"},0))&gt;=6,"High",IF((MATCH(E11,{"Low","Medium","High"},0))*(MATCH(F11,{"Low","Medium","High","Critical"},0))&gt;=3,"Medium","Low"))),"")</f>
        <v>Critical</v>
      </c>
      <c r="H11" s="16" t="s">
        <v>121</v>
      </c>
      <c r="I11" s="42" t="s">
        <v>155</v>
      </c>
      <c r="J11" s="42" t="s">
        <v>156</v>
      </c>
      <c r="K11" s="43" t="s">
        <v>157</v>
      </c>
      <c r="L11" s="44" t="s">
        <v>138</v>
      </c>
      <c r="N11" s="45" t="str">
        <f aca="false">IF(AND($C11="Risk",$H11="Open",$G11="Critical"),COUNTIFS($C$6:$C11,"Risk",$H$6:$H11,"Open",$G$6:$G11,"Critical"),"")</f>
        <v/>
      </c>
    </row>
    <row r="12" customFormat="false" ht="21.75" hidden="false" customHeight="true" outlineLevel="0" collapsed="false">
      <c r="B12" s="16" t="s">
        <v>158</v>
      </c>
      <c r="C12" s="16" t="s">
        <v>153</v>
      </c>
      <c r="D12" s="42" t="s">
        <v>159</v>
      </c>
      <c r="E12" s="16" t="s">
        <v>119</v>
      </c>
      <c r="F12" s="16" t="s">
        <v>120</v>
      </c>
      <c r="G12" s="18" t="str">
        <f aca="false">IFERROR(IF((MATCH(E12,{"Low","Medium","High"},0))*(MATCH(F12,{"Low","Medium","High","Critical"},0))&gt;=9,"Critical",IF((MATCH(E12,{"Low","Medium","High"},0))*(MATCH(F12,{"Low","Medium","High","Critical"},0))&gt;=6,"High",IF((MATCH(E12,{"Low","Medium","High"},0))*(MATCH(F12,{"Low","Medium","High","Critical"},0))&gt;=3,"Medium","Low"))),"")</f>
        <v>Critical</v>
      </c>
      <c r="H12" s="16" t="s">
        <v>121</v>
      </c>
      <c r="I12" s="42" t="s">
        <v>160</v>
      </c>
      <c r="J12" s="42" t="s">
        <v>161</v>
      </c>
      <c r="K12" s="43" t="s">
        <v>162</v>
      </c>
      <c r="L12" s="44" t="s">
        <v>131</v>
      </c>
      <c r="N12" s="45" t="str">
        <f aca="false">IF(AND($C12="Risk",$H12="Open",$G12="Critical"),COUNTIFS($C$6:$C12,"Risk",$H$6:$H12,"Open",$G$6:$G12,"Critical"),"")</f>
        <v/>
      </c>
    </row>
    <row r="13" customFormat="false" ht="21.75" hidden="false" customHeight="true" outlineLevel="0" collapsed="false">
      <c r="B13" s="16" t="s">
        <v>163</v>
      </c>
      <c r="C13" s="16" t="s">
        <v>164</v>
      </c>
      <c r="D13" s="42" t="s">
        <v>165</v>
      </c>
      <c r="E13" s="16" t="s">
        <v>119</v>
      </c>
      <c r="F13" s="16" t="s">
        <v>120</v>
      </c>
      <c r="G13" s="18" t="str">
        <f aca="false">IFERROR(IF((MATCH(E13,{"Low","Medium","High"},0))*(MATCH(F13,{"Low","Medium","High","Critical"},0))&gt;=9,"Critical",IF((MATCH(E13,{"Low","Medium","High"},0))*(MATCH(F13,{"Low","Medium","High","Critical"},0))&gt;=6,"High",IF((MATCH(E13,{"Low","Medium","High"},0))*(MATCH(F13,{"Low","Medium","High","Critical"},0))&gt;=3,"Medium","Low"))),"")</f>
        <v>Critical</v>
      </c>
      <c r="H13" s="16" t="s">
        <v>121</v>
      </c>
      <c r="I13" s="42" t="s">
        <v>166</v>
      </c>
      <c r="J13" s="42" t="s">
        <v>167</v>
      </c>
      <c r="K13" s="43" t="s">
        <v>162</v>
      </c>
      <c r="L13" s="44" t="s">
        <v>145</v>
      </c>
      <c r="N13" s="45" t="str">
        <f aca="false">IF(AND($C13="Risk",$H13="Open",$G13="Critical"),COUNTIFS($C$6:$C13,"Risk",$H$6:$H13,"Open",$G$6:$G13,"Critical"),"")</f>
        <v/>
      </c>
    </row>
    <row r="14" customFormat="false" ht="15" hidden="false" customHeight="true" outlineLevel="0" collapsed="false">
      <c r="B14" s="16" t="s">
        <v>168</v>
      </c>
      <c r="C14" s="16" t="s">
        <v>164</v>
      </c>
      <c r="D14" s="42" t="s">
        <v>169</v>
      </c>
      <c r="E14" s="16" t="s">
        <v>134</v>
      </c>
      <c r="F14" s="16" t="s">
        <v>119</v>
      </c>
      <c r="G14" s="18" t="str">
        <f aca="false">IFERROR(IF((MATCH(E14,{"Low","Medium","High"},0))*(MATCH(F14,{"Low","Medium","High","Critical"},0))&gt;=9,"Critical",IF((MATCH(E14,{"Low","Medium","High"},0))*(MATCH(F14,{"Low","Medium","High","Critical"},0))&gt;=6,"High",IF((MATCH(E14,{"Low","Medium","High"},0))*(MATCH(F14,{"Low","Medium","High","Critical"},0))&gt;=3,"Medium","Low"))),"")</f>
        <v>High</v>
      </c>
      <c r="H14" s="16" t="s">
        <v>121</v>
      </c>
      <c r="I14" s="42" t="s">
        <v>170</v>
      </c>
      <c r="J14" s="42" t="s">
        <v>171</v>
      </c>
      <c r="K14" s="43" t="s">
        <v>172</v>
      </c>
      <c r="N14" s="45" t="str">
        <f aca="false">IF(AND($C14="Risk",$H14="Open",$G14="Critical"),COUNTIFS($C$6:$C14,"Risk",$H$6:$H14,"Open",$G$6:$G14,"Critical"),"")</f>
        <v/>
      </c>
    </row>
    <row r="15" customFormat="false" ht="15" hidden="false" customHeight="true" outlineLevel="0" collapsed="false">
      <c r="B15" s="46"/>
      <c r="C15" s="46"/>
      <c r="D15" s="46"/>
      <c r="E15" s="46"/>
      <c r="F15" s="46"/>
      <c r="G15" s="18" t="str">
        <f aca="false">IFERROR(IF((MATCH(E15,{"Low","Medium","High"},0))*(MATCH(F15,{"Low","Medium","High","Critical"},0))&gt;=9,"Critical",IF((MATCH(E15,{"Low","Medium","High"},0))*(MATCH(F15,{"Low","Medium","High","Critical"},0))&gt;=6,"High",IF((MATCH(E15,{"Low","Medium","High"},0))*(MATCH(F15,{"Low","Medium","High","Critical"},0))&gt;=3,"Medium","Low"))),"")</f>
        <v/>
      </c>
      <c r="H15" s="46"/>
      <c r="I15" s="46"/>
      <c r="J15" s="46"/>
      <c r="K15" s="46"/>
      <c r="N15" s="45" t="str">
        <f aca="false">IF(AND($C15="Risk",$H15="Open",$G15="Critical"),COUNTIFS($C$6:$C15,"Risk",$H$6:$H15,"Open",$G$6:$G15,"Critical"),"")</f>
        <v/>
      </c>
    </row>
    <row r="16" customFormat="false" ht="15" hidden="false" customHeight="true" outlineLevel="0" collapsed="false">
      <c r="B16" s="46"/>
      <c r="C16" s="46"/>
      <c r="D16" s="46"/>
      <c r="E16" s="46"/>
      <c r="F16" s="46"/>
      <c r="G16" s="18" t="str">
        <f aca="false">IFERROR(IF((MATCH(E16,{"Low","Medium","High"},0))*(MATCH(F16,{"Low","Medium","High","Critical"},0))&gt;=9,"Critical",IF((MATCH(E16,{"Low","Medium","High"},0))*(MATCH(F16,{"Low","Medium","High","Critical"},0))&gt;=6,"High",IF((MATCH(E16,{"Low","Medium","High"},0))*(MATCH(F16,{"Low","Medium","High","Critical"},0))&gt;=3,"Medium","Low"))),"")</f>
        <v/>
      </c>
      <c r="H16" s="46"/>
      <c r="I16" s="46"/>
      <c r="J16" s="46"/>
      <c r="K16" s="46"/>
      <c r="N16" s="45" t="str">
        <f aca="false">IF(AND($C16="Risk",$H16="Open",$G16="Critical"),COUNTIFS($C$6:$C16,"Risk",$H$6:$H16,"Open",$G$6:$G16,"Critical"),"")</f>
        <v/>
      </c>
    </row>
    <row r="17" customFormat="false" ht="15" hidden="false" customHeight="true" outlineLevel="0" collapsed="false">
      <c r="B17" s="46"/>
      <c r="C17" s="46"/>
      <c r="D17" s="46"/>
      <c r="E17" s="46"/>
      <c r="F17" s="46"/>
      <c r="G17" s="18" t="str">
        <f aca="false">IFERROR(IF((MATCH(E17,{"Low","Medium","High"},0))*(MATCH(F17,{"Low","Medium","High","Critical"},0))&gt;=9,"Critical",IF((MATCH(E17,{"Low","Medium","High"},0))*(MATCH(F17,{"Low","Medium","High","Critical"},0))&gt;=6,"High",IF((MATCH(E17,{"Low","Medium","High"},0))*(MATCH(F17,{"Low","Medium","High","Critical"},0))&gt;=3,"Medium","Low"))),"")</f>
        <v/>
      </c>
      <c r="H17" s="46"/>
      <c r="I17" s="46"/>
      <c r="J17" s="46"/>
      <c r="K17" s="46"/>
      <c r="N17" s="45" t="str">
        <f aca="false">IF(AND($C17="Risk",$H17="Open",$G17="Critical"),COUNTIFS($C$6:$C17,"Risk",$H$6:$H17,"Open",$G$6:$G17,"Critical"),"")</f>
        <v/>
      </c>
    </row>
    <row r="18" customFormat="false" ht="15" hidden="false" customHeight="true" outlineLevel="0" collapsed="false">
      <c r="B18" s="46"/>
      <c r="C18" s="46"/>
      <c r="D18" s="46"/>
      <c r="E18" s="46"/>
      <c r="F18" s="46"/>
      <c r="G18" s="18" t="str">
        <f aca="false">IFERROR(IF((MATCH(E18,{"Low","Medium","High"},0))*(MATCH(F18,{"Low","Medium","High","Critical"},0))&gt;=9,"Critical",IF((MATCH(E18,{"Low","Medium","High"},0))*(MATCH(F18,{"Low","Medium","High","Critical"},0))&gt;=6,"High",IF((MATCH(E18,{"Low","Medium","High"},0))*(MATCH(F18,{"Low","Medium","High","Critical"},0))&gt;=3,"Medium","Low"))),"")</f>
        <v/>
      </c>
      <c r="H18" s="46"/>
      <c r="I18" s="46"/>
      <c r="J18" s="46"/>
      <c r="K18" s="46"/>
      <c r="N18" s="45" t="str">
        <f aca="false">IF(AND($C18="Risk",$H18="Open",$G18="Critical"),COUNTIFS($C$6:$C18,"Risk",$H$6:$H18,"Open",$G$6:$G18,"Critical"),"")</f>
        <v/>
      </c>
    </row>
    <row r="19" customFormat="false" ht="15" hidden="false" customHeight="true" outlineLevel="0" collapsed="false">
      <c r="B19" s="46"/>
      <c r="C19" s="46"/>
      <c r="D19" s="46"/>
      <c r="E19" s="46"/>
      <c r="F19" s="46"/>
      <c r="G19" s="18" t="str">
        <f aca="false">IFERROR(IF((MATCH(E19,{"Low","Medium","High"},0))*(MATCH(F19,{"Low","Medium","High","Critical"},0))&gt;=9,"Critical",IF((MATCH(E19,{"Low","Medium","High"},0))*(MATCH(F19,{"Low","Medium","High","Critical"},0))&gt;=6,"High",IF((MATCH(E19,{"Low","Medium","High"},0))*(MATCH(F19,{"Low","Medium","High","Critical"},0))&gt;=3,"Medium","Low"))),"")</f>
        <v/>
      </c>
      <c r="H19" s="46"/>
      <c r="I19" s="46"/>
      <c r="J19" s="46"/>
      <c r="K19" s="46"/>
      <c r="N19" s="45" t="str">
        <f aca="false">IF(AND($C19="Risk",$H19="Open",$G19="Critical"),COUNTIFS($C$6:$C19,"Risk",$H$6:$H19,"Open",$G$6:$G19,"Critical"),"")</f>
        <v/>
      </c>
    </row>
    <row r="20" customFormat="false" ht="15" hidden="false" customHeight="true" outlineLevel="0" collapsed="false">
      <c r="B20" s="46"/>
      <c r="C20" s="46"/>
      <c r="D20" s="46"/>
      <c r="E20" s="46"/>
      <c r="F20" s="46"/>
      <c r="G20" s="18" t="str">
        <f aca="false">IFERROR(IF((MATCH(E20,{"Low","Medium","High"},0))*(MATCH(F20,{"Low","Medium","High","Critical"},0))&gt;=9,"Critical",IF((MATCH(E20,{"Low","Medium","High"},0))*(MATCH(F20,{"Low","Medium","High","Critical"},0))&gt;=6,"High",IF((MATCH(E20,{"Low","Medium","High"},0))*(MATCH(F20,{"Low","Medium","High","Critical"},0))&gt;=3,"Medium","Low"))),"")</f>
        <v/>
      </c>
      <c r="H20" s="46"/>
      <c r="I20" s="46"/>
      <c r="J20" s="46"/>
      <c r="K20" s="46"/>
      <c r="N20" s="45" t="str">
        <f aca="false">IF(AND($C20="Risk",$H20="Open",$G20="Critical"),COUNTIFS($C$6:$C20,"Risk",$H$6:$H20,"Open",$G$6:$G20,"Critical"),"")</f>
        <v/>
      </c>
    </row>
    <row r="21" customFormat="false" ht="15" hidden="false" customHeight="true" outlineLevel="0" collapsed="false">
      <c r="B21" s="46"/>
      <c r="C21" s="46"/>
      <c r="D21" s="46"/>
      <c r="E21" s="46"/>
      <c r="F21" s="46"/>
      <c r="G21" s="18" t="str">
        <f aca="false">IFERROR(IF((MATCH(E21,{"Low","Medium","High"},0))*(MATCH(F21,{"Low","Medium","High","Critical"},0))&gt;=9,"Critical",IF((MATCH(E21,{"Low","Medium","High"},0))*(MATCH(F21,{"Low","Medium","High","Critical"},0))&gt;=6,"High",IF((MATCH(E21,{"Low","Medium","High"},0))*(MATCH(F21,{"Low","Medium","High","Critical"},0))&gt;=3,"Medium","Low"))),"")</f>
        <v/>
      </c>
      <c r="H21" s="46"/>
      <c r="I21" s="46"/>
      <c r="J21" s="46"/>
      <c r="K21" s="46"/>
      <c r="N21" s="45" t="str">
        <f aca="false">IF(AND($C21="Risk",$H21="Open",$G21="Critical"),COUNTIFS($C$6:$C21,"Risk",$H$6:$H21,"Open",$G$6:$G21,"Critical"),"")</f>
        <v/>
      </c>
    </row>
    <row r="22" customFormat="false" ht="15" hidden="false" customHeight="true" outlineLevel="0" collapsed="false">
      <c r="B22" s="46"/>
      <c r="C22" s="46"/>
      <c r="D22" s="46"/>
      <c r="E22" s="46"/>
      <c r="F22" s="46"/>
      <c r="G22" s="18" t="str">
        <f aca="false">IFERROR(IF((MATCH(E22,{"Low","Medium","High"},0))*(MATCH(F22,{"Low","Medium","High","Critical"},0))&gt;=9,"Critical",IF((MATCH(E22,{"Low","Medium","High"},0))*(MATCH(F22,{"Low","Medium","High","Critical"},0))&gt;=6,"High",IF((MATCH(E22,{"Low","Medium","High"},0))*(MATCH(F22,{"Low","Medium","High","Critical"},0))&gt;=3,"Medium","Low"))),"")</f>
        <v/>
      </c>
      <c r="H22" s="46"/>
      <c r="I22" s="46"/>
      <c r="J22" s="46"/>
      <c r="K22" s="46"/>
      <c r="N22" s="45" t="str">
        <f aca="false">IF(AND($C22="Risk",$H22="Open",$G22="Critical"),COUNTIFS($C$6:$C22,"Risk",$H$6:$H22,"Open",$G$6:$G22,"Critical"),"")</f>
        <v/>
      </c>
    </row>
    <row r="23" customFormat="false" ht="15" hidden="false" customHeight="true" outlineLevel="0" collapsed="false">
      <c r="B23" s="46"/>
      <c r="C23" s="46"/>
      <c r="D23" s="46"/>
      <c r="E23" s="46"/>
      <c r="F23" s="46"/>
      <c r="G23" s="18" t="str">
        <f aca="false">IFERROR(IF((MATCH(E23,{"Low","Medium","High"},0))*(MATCH(F23,{"Low","Medium","High","Critical"},0))&gt;=9,"Critical",IF((MATCH(E23,{"Low","Medium","High"},0))*(MATCH(F23,{"Low","Medium","High","Critical"},0))&gt;=6,"High",IF((MATCH(E23,{"Low","Medium","High"},0))*(MATCH(F23,{"Low","Medium","High","Critical"},0))&gt;=3,"Medium","Low"))),"")</f>
        <v/>
      </c>
      <c r="H23" s="46"/>
      <c r="I23" s="46"/>
      <c r="J23" s="46"/>
      <c r="K23" s="46"/>
      <c r="N23" s="45" t="str">
        <f aca="false">IF(AND($C23="Risk",$H23="Open",$G23="Critical"),COUNTIFS($C$6:$C23,"Risk",$H$6:$H23,"Open",$G$6:$G23,"Critical"),"")</f>
        <v/>
      </c>
    </row>
    <row r="24" customFormat="false" ht="15" hidden="false" customHeight="true" outlineLevel="0" collapsed="false">
      <c r="B24" s="46"/>
      <c r="C24" s="46"/>
      <c r="D24" s="46"/>
      <c r="E24" s="46"/>
      <c r="F24" s="46"/>
      <c r="G24" s="18" t="str">
        <f aca="false">IFERROR(IF((MATCH(E24,{"Low","Medium","High"},0))*(MATCH(F24,{"Low","Medium","High","Critical"},0))&gt;=9,"Critical",IF((MATCH(E24,{"Low","Medium","High"},0))*(MATCH(F24,{"Low","Medium","High","Critical"},0))&gt;=6,"High",IF((MATCH(E24,{"Low","Medium","High"},0))*(MATCH(F24,{"Low","Medium","High","Critical"},0))&gt;=3,"Medium","Low"))),"")</f>
        <v/>
      </c>
      <c r="H24" s="46"/>
      <c r="I24" s="46"/>
      <c r="J24" s="46"/>
      <c r="K24" s="46"/>
      <c r="N24" s="45" t="str">
        <f aca="false">IF(AND($C24="Risk",$H24="Open",$G24="Critical"),COUNTIFS($C$6:$C24,"Risk",$H$6:$H24,"Open",$G$6:$G24,"Critical"),"")</f>
        <v/>
      </c>
    </row>
    <row r="25" customFormat="false" ht="15" hidden="false" customHeight="true" outlineLevel="0" collapsed="false">
      <c r="B25" s="46"/>
      <c r="C25" s="46"/>
      <c r="D25" s="46"/>
      <c r="E25" s="46"/>
      <c r="F25" s="46"/>
      <c r="G25" s="18" t="str">
        <f aca="false">IFERROR(IF((MATCH(E25,{"Low","Medium","High"},0))*(MATCH(F25,{"Low","Medium","High","Critical"},0))&gt;=9,"Critical",IF((MATCH(E25,{"Low","Medium","High"},0))*(MATCH(F25,{"Low","Medium","High","Critical"},0))&gt;=6,"High",IF((MATCH(E25,{"Low","Medium","High"},0))*(MATCH(F25,{"Low","Medium","High","Critical"},0))&gt;=3,"Medium","Low"))),"")</f>
        <v/>
      </c>
      <c r="H25" s="46"/>
      <c r="I25" s="46"/>
      <c r="J25" s="46"/>
      <c r="K25" s="46"/>
      <c r="N25" s="45" t="str">
        <f aca="false">IF(AND($C25="Risk",$H25="Open",$G25="Critical"),COUNTIFS($C$6:$C25,"Risk",$H$6:$H25,"Open",$G$6:$G25,"Critical"),"")</f>
        <v/>
      </c>
    </row>
    <row r="26" customFormat="false" ht="15" hidden="false" customHeight="true" outlineLevel="0" collapsed="false">
      <c r="B26" s="46"/>
      <c r="C26" s="46"/>
      <c r="D26" s="46"/>
      <c r="E26" s="46"/>
      <c r="F26" s="46"/>
      <c r="G26" s="18" t="str">
        <f aca="false">IFERROR(IF((MATCH(E26,{"Low","Medium","High"},0))*(MATCH(F26,{"Low","Medium","High","Critical"},0))&gt;=9,"Critical",IF((MATCH(E26,{"Low","Medium","High"},0))*(MATCH(F26,{"Low","Medium","High","Critical"},0))&gt;=6,"High",IF((MATCH(E26,{"Low","Medium","High"},0))*(MATCH(F26,{"Low","Medium","High","Critical"},0))&gt;=3,"Medium","Low"))),"")</f>
        <v/>
      </c>
      <c r="H26" s="46"/>
      <c r="I26" s="46"/>
      <c r="J26" s="46"/>
      <c r="K26" s="46"/>
      <c r="N26" s="45" t="str">
        <f aca="false">IF(AND($C26="Risk",$H26="Open",$G26="Critical"),COUNTIFS($C$6:$C26,"Risk",$H$6:$H26,"Open",$G$6:$G26,"Critical"),"")</f>
        <v/>
      </c>
    </row>
    <row r="27" customFormat="false" ht="15" hidden="false" customHeight="true" outlineLevel="0" collapsed="false">
      <c r="B27" s="46"/>
      <c r="C27" s="46"/>
      <c r="D27" s="46"/>
      <c r="E27" s="46"/>
      <c r="F27" s="46"/>
      <c r="G27" s="18" t="str">
        <f aca="false">IFERROR(IF((MATCH(E27,{"Low","Medium","High"},0))*(MATCH(F27,{"Low","Medium","High","Critical"},0))&gt;=9,"Critical",IF((MATCH(E27,{"Low","Medium","High"},0))*(MATCH(F27,{"Low","Medium","High","Critical"},0))&gt;=6,"High",IF((MATCH(E27,{"Low","Medium","High"},0))*(MATCH(F27,{"Low","Medium","High","Critical"},0))&gt;=3,"Medium","Low"))),"")</f>
        <v/>
      </c>
      <c r="H27" s="46"/>
      <c r="I27" s="46"/>
      <c r="J27" s="46"/>
      <c r="K27" s="46"/>
      <c r="N27" s="45" t="str">
        <f aca="false">IF(AND($C27="Risk",$H27="Open",$G27="Critical"),COUNTIFS($C$6:$C27,"Risk",$H$6:$H27,"Open",$G$6:$G27,"Critical"),"")</f>
        <v/>
      </c>
    </row>
    <row r="28" customFormat="false" ht="15" hidden="false" customHeight="true" outlineLevel="0" collapsed="false">
      <c r="B28" s="46"/>
      <c r="C28" s="46"/>
      <c r="D28" s="46"/>
      <c r="E28" s="46"/>
      <c r="F28" s="46"/>
      <c r="G28" s="18" t="str">
        <f aca="false">IFERROR(IF((MATCH(E28,{"Low","Medium","High"},0))*(MATCH(F28,{"Low","Medium","High","Critical"},0))&gt;=9,"Critical",IF((MATCH(E28,{"Low","Medium","High"},0))*(MATCH(F28,{"Low","Medium","High","Critical"},0))&gt;=6,"High",IF((MATCH(E28,{"Low","Medium","High"},0))*(MATCH(F28,{"Low","Medium","High","Critical"},0))&gt;=3,"Medium","Low"))),"")</f>
        <v/>
      </c>
      <c r="H28" s="46"/>
      <c r="I28" s="46"/>
      <c r="J28" s="46"/>
      <c r="K28" s="46"/>
      <c r="N28" s="45" t="str">
        <f aca="false">IF(AND($C28="Risk",$H28="Open",$G28="Critical"),COUNTIFS($C$6:$C28,"Risk",$H$6:$H28,"Open",$G$6:$G28,"Critical"),"")</f>
        <v/>
      </c>
    </row>
    <row r="29" customFormat="false" ht="15" hidden="false" customHeight="true" outlineLevel="0" collapsed="false">
      <c r="B29" s="46"/>
      <c r="C29" s="46"/>
      <c r="D29" s="46"/>
      <c r="E29" s="46"/>
      <c r="F29" s="46"/>
      <c r="G29" s="18" t="str">
        <f aca="false">IFERROR(IF((MATCH(E29,{"Low","Medium","High"},0))*(MATCH(F29,{"Low","Medium","High","Critical"},0))&gt;=9,"Critical",IF((MATCH(E29,{"Low","Medium","High"},0))*(MATCH(F29,{"Low","Medium","High","Critical"},0))&gt;=6,"High",IF((MATCH(E29,{"Low","Medium","High"},0))*(MATCH(F29,{"Low","Medium","High","Critical"},0))&gt;=3,"Medium","Low"))),"")</f>
        <v/>
      </c>
      <c r="H29" s="46"/>
      <c r="I29" s="46"/>
      <c r="J29" s="46"/>
      <c r="K29" s="46"/>
      <c r="N29" s="45" t="str">
        <f aca="false">IF(AND($C29="Risk",$H29="Open",$G29="Critical"),COUNTIFS($C$6:$C29,"Risk",$H$6:$H29,"Open",$G$6:$G29,"Critical"),"")</f>
        <v/>
      </c>
    </row>
    <row r="30" customFormat="false" ht="15" hidden="false" customHeight="true" outlineLevel="0" collapsed="false">
      <c r="N30" s="45" t="str">
        <f aca="false">IF(AND($C30="Risk",$H30="Open",$G30="Critical"),COUNTIFS($C$6:$C30,"Risk",$H$6:$H30,"Open",$G$6:$G30,"Critical"),"")</f>
        <v/>
      </c>
    </row>
    <row r="31" customFormat="false" ht="15" hidden="false" customHeight="true" outlineLevel="0" collapsed="false">
      <c r="N31" s="45" t="str">
        <f aca="false">IF(AND($C31="Risk",$H31="Open",$G31="Critical"),COUNTIFS($C$6:$C31,"Risk",$H$6:$H31,"Open",$G$6:$G31,"Critical"),"")</f>
        <v/>
      </c>
    </row>
    <row r="32" customFormat="false" ht="15" hidden="false" customHeight="true" outlineLevel="0" collapsed="false">
      <c r="N32" s="45" t="str">
        <f aca="false">IF(AND($C32="Risk",$H32="Open",$G32="Critical"),COUNTIFS($C$6:$C32,"Risk",$H$6:$H32,"Open",$G$6:$G32,"Critical"),"")</f>
        <v/>
      </c>
    </row>
    <row r="33" customFormat="false" ht="15" hidden="false" customHeight="true" outlineLevel="0" collapsed="false">
      <c r="N33" s="45" t="str">
        <f aca="false">IF(AND($C33="Risk",$H33="Open",$G33="Critical"),COUNTIFS($C$6:$C33,"Risk",$H$6:$H33,"Open",$G$6:$G33,"Critical"),"")</f>
        <v/>
      </c>
    </row>
    <row r="34" customFormat="false" ht="15" hidden="false" customHeight="true" outlineLevel="0" collapsed="false">
      <c r="N34" s="45" t="str">
        <f aca="false">IF(AND($C34="Risk",$H34="Open",$G34="Critical"),COUNTIFS($C$6:$C34,"Risk",$H$6:$H34,"Open",$G$6:$G34,"Critical"),"")</f>
        <v/>
      </c>
    </row>
    <row r="35" customFormat="false" ht="15" hidden="false" customHeight="true" outlineLevel="0" collapsed="false">
      <c r="N35" s="45" t="str">
        <f aca="false">IF(AND($C35="Risk",$H35="Open",$G35="Critical"),COUNTIFS($C$6:$C35,"Risk",$H$6:$H35,"Open",$G$6:$G35,"Critical"),"")</f>
        <v/>
      </c>
    </row>
    <row r="36" customFormat="false" ht="15" hidden="false" customHeight="true" outlineLevel="0" collapsed="false">
      <c r="N36" s="45" t="str">
        <f aca="false">IF(AND($C36="Risk",$H36="Open",$G36="Critical"),COUNTIFS($C$6:$C36,"Risk",$H$6:$H36,"Open",$G$6:$G36,"Critical"),"")</f>
        <v/>
      </c>
    </row>
    <row r="37" customFormat="false" ht="15" hidden="false" customHeight="true" outlineLevel="0" collapsed="false">
      <c r="N37" s="45" t="str">
        <f aca="false">IF(AND($C37="Risk",$H37="Open",$G37="Critical"),COUNTIFS($C$6:$C37,"Risk",$H$6:$H37,"Open",$G$6:$G37,"Critical"),"")</f>
        <v/>
      </c>
    </row>
    <row r="38" customFormat="false" ht="15" hidden="false" customHeight="true" outlineLevel="0" collapsed="false">
      <c r="N38" s="45" t="str">
        <f aca="false">IF(AND($C38="Risk",$H38="Open",$G38="Critical"),COUNTIFS($C$6:$C38,"Risk",$H$6:$H38,"Open",$G$6:$G38,"Critical"),"")</f>
        <v/>
      </c>
    </row>
    <row r="39" customFormat="false" ht="15" hidden="false" customHeight="true" outlineLevel="0" collapsed="false">
      <c r="N39" s="45" t="str">
        <f aca="false">IF(AND($C39="Risk",$H39="Open",$G39="Critical"),COUNTIFS($C$6:$C39,"Risk",$H$6:$H39,"Open",$G$6:$G39,"Critical"),"")</f>
        <v/>
      </c>
    </row>
    <row r="40" customFormat="false" ht="15" hidden="false" customHeight="true" outlineLevel="0" collapsed="false">
      <c r="N40" s="45" t="str">
        <f aca="false">IF(AND($C40="Risk",$H40="Open",$G40="Critical"),COUNTIFS($C$6:$C40,"Risk",$H$6:$H40,"Open",$G$6:$G40,"Critical"),"")</f>
        <v/>
      </c>
    </row>
    <row r="41" customFormat="false" ht="15" hidden="false" customHeight="true" outlineLevel="0" collapsed="false">
      <c r="N41" s="45" t="str">
        <f aca="false">IF(AND($C41="Risk",$H41="Open",$G41="Critical"),COUNTIFS($C$6:$C41,"Risk",$H$6:$H41,"Open",$G$6:$G41,"Critical"),"")</f>
        <v/>
      </c>
    </row>
    <row r="42" customFormat="false" ht="15" hidden="false" customHeight="true" outlineLevel="0" collapsed="false">
      <c r="N42" s="45" t="str">
        <f aca="false">IF(AND($C42="Risk",$H42="Open",$G42="Critical"),COUNTIFS($C$6:$C42,"Risk",$H$6:$H42,"Open",$G$6:$G42,"Critical"),"")</f>
        <v/>
      </c>
    </row>
    <row r="43" customFormat="false" ht="15" hidden="false" customHeight="true" outlineLevel="0" collapsed="false">
      <c r="N43" s="45" t="str">
        <f aca="false">IF(AND($C43="Risk",$H43="Open",$G43="Critical"),COUNTIFS($C$6:$C43,"Risk",$H$6:$H43,"Open",$G$6:$G43,"Critical"),"")</f>
        <v/>
      </c>
    </row>
    <row r="44" customFormat="false" ht="15" hidden="false" customHeight="true" outlineLevel="0" collapsed="false">
      <c r="N44" s="45" t="str">
        <f aca="false">IF(AND($C44="Risk",$H44="Open",$G44="Critical"),COUNTIFS($C$6:$C44,"Risk",$H$6:$H44,"Open",$G$6:$G44,"Critical"),"")</f>
        <v/>
      </c>
    </row>
    <row r="45" customFormat="false" ht="15" hidden="false" customHeight="true" outlineLevel="0" collapsed="false">
      <c r="N45" s="45" t="str">
        <f aca="false">IF(AND($C45="Risk",$H45="Open",$G45="Critical"),COUNTIFS($C$6:$C45,"Risk",$H$6:$H45,"Open",$G$6:$G45,"Critical"),"")</f>
        <v/>
      </c>
    </row>
    <row r="46" customFormat="false" ht="15" hidden="false" customHeight="true" outlineLevel="0" collapsed="false">
      <c r="N46" s="45" t="str">
        <f aca="false">IF(AND($C46="Risk",$H46="Open",$G46="Critical"),COUNTIFS($C$6:$C46,"Risk",$H$6:$H46,"Open",$G$6:$G46,"Critical"),"")</f>
        <v/>
      </c>
    </row>
    <row r="47" customFormat="false" ht="15" hidden="false" customHeight="true" outlineLevel="0" collapsed="false">
      <c r="N47" s="45" t="str">
        <f aca="false">IF(AND($C47="Risk",$H47="Open",$G47="Critical"),COUNTIFS($C$6:$C47,"Risk",$H$6:$H47,"Open",$G$6:$G47,"Critical"),"")</f>
        <v/>
      </c>
    </row>
    <row r="48" customFormat="false" ht="15" hidden="false" customHeight="true" outlineLevel="0" collapsed="false">
      <c r="N48" s="45" t="str">
        <f aca="false">IF(AND($C48="Risk",$H48="Open",$G48="Critical"),COUNTIFS($C$6:$C48,"Risk",$H$6:$H48,"Open",$G$6:$G48,"Critical"),"")</f>
        <v/>
      </c>
    </row>
    <row r="49" customFormat="false" ht="15" hidden="false" customHeight="true" outlineLevel="0" collapsed="false">
      <c r="N49" s="45" t="str">
        <f aca="false">IF(AND($C49="Risk",$H49="Open",$G49="Critical"),COUNTIFS($C$6:$C49,"Risk",$H$6:$H49,"Open",$G$6:$G49,"Critical"),"")</f>
        <v/>
      </c>
    </row>
    <row r="50" customFormat="false" ht="15" hidden="false" customHeight="true" outlineLevel="0" collapsed="false">
      <c r="N50" s="45" t="str">
        <f aca="false">IF(AND($C50="Risk",$H50="Open",$G50="Critical"),COUNTIFS($C$6:$C50,"Risk",$H$6:$H50,"Open",$G$6:$G50,"Critical"),"")</f>
        <v/>
      </c>
    </row>
    <row r="51" customFormat="false" ht="15" hidden="false" customHeight="true" outlineLevel="0" collapsed="false">
      <c r="N51" s="45" t="str">
        <f aca="false">IF(AND($C51="Risk",$H51="Open",$G51="Critical"),COUNTIFS($C$6:$C51,"Risk",$H$6:$H51,"Open",$G$6:$G51,"Critical"),"")</f>
        <v/>
      </c>
    </row>
    <row r="52" customFormat="false" ht="15" hidden="false" customHeight="true" outlineLevel="0" collapsed="false">
      <c r="N52" s="45" t="str">
        <f aca="false">IF(AND($C52="Risk",$H52="Open",$G52="Critical"),COUNTIFS($C$6:$C52,"Risk",$H$6:$H52,"Open",$G$6:$G52,"Critical"),"")</f>
        <v/>
      </c>
    </row>
    <row r="53" customFormat="false" ht="15" hidden="false" customHeight="true" outlineLevel="0" collapsed="false">
      <c r="N53" s="45" t="str">
        <f aca="false">IF(AND($C53="Risk",$H53="Open",$G53="Critical"),COUNTIFS($C$6:$C53,"Risk",$H$6:$H53,"Open",$G$6:$G53,"Critical"),"")</f>
        <v/>
      </c>
    </row>
    <row r="54" customFormat="false" ht="15" hidden="false" customHeight="true" outlineLevel="0" collapsed="false">
      <c r="N54" s="45" t="str">
        <f aca="false">IF(AND($C54="Risk",$H54="Open",$G54="Critical"),COUNTIFS($C$6:$C54,"Risk",$H$6:$H54,"Open",$G$6:$G54,"Critical"),"")</f>
        <v/>
      </c>
    </row>
    <row r="55" customFormat="false" ht="15" hidden="false" customHeight="true" outlineLevel="0" collapsed="false">
      <c r="N55" s="45" t="str">
        <f aca="false">IF(AND($C55="Risk",$H55="Open",$G55="Critical"),COUNTIFS($C$6:$C55,"Risk",$H$6:$H55,"Open",$G$6:$G55,"Critical"),"")</f>
        <v/>
      </c>
    </row>
    <row r="56" customFormat="false" ht="15" hidden="false" customHeight="true" outlineLevel="0" collapsed="false">
      <c r="N56" s="45" t="str">
        <f aca="false">IF(AND($C56="Risk",$H56="Open",$G56="Critical"),COUNTIFS($C$6:$C56,"Risk",$H$6:$H56,"Open",$G$6:$G56,"Critical"),"")</f>
        <v/>
      </c>
    </row>
    <row r="57" customFormat="false" ht="15" hidden="false" customHeight="true" outlineLevel="0" collapsed="false">
      <c r="N57" s="45" t="str">
        <f aca="false">IF(AND($C57="Risk",$H57="Open",$G57="Critical"),COUNTIFS($C$6:$C57,"Risk",$H$6:$H57,"Open",$G$6:$G57,"Critical"),"")</f>
        <v/>
      </c>
    </row>
    <row r="58" customFormat="false" ht="15" hidden="false" customHeight="true" outlineLevel="0" collapsed="false">
      <c r="N58" s="45" t="str">
        <f aca="false">IF(AND($C58="Risk",$H58="Open",$G58="Critical"),COUNTIFS($C$6:$C58,"Risk",$H$6:$H58,"Open",$G$6:$G58,"Critical"),"")</f>
        <v/>
      </c>
    </row>
    <row r="59" customFormat="false" ht="15" hidden="false" customHeight="true" outlineLevel="0" collapsed="false">
      <c r="N59" s="45" t="str">
        <f aca="false">IF(AND($C59="Risk",$H59="Open",$G59="Critical"),COUNTIFS($C$6:$C59,"Risk",$H$6:$H59,"Open",$G$6:$G59,"Critical"),"")</f>
        <v/>
      </c>
    </row>
    <row r="60" customFormat="false" ht="15" hidden="false" customHeight="true" outlineLevel="0" collapsed="false">
      <c r="N60" s="45" t="str">
        <f aca="false">IF(AND($C60="Risk",$H60="Open",$G60="Critical"),COUNTIFS($C$6:$C60,"Risk",$H$6:$H60,"Open",$G$6:$G60,"Critical"),"")</f>
        <v/>
      </c>
    </row>
    <row r="61" customFormat="false" ht="15" hidden="false" customHeight="true" outlineLevel="0" collapsed="false">
      <c r="N61" s="45" t="str">
        <f aca="false">IF(AND($C61="Risk",$H61="Open",$G61="Critical"),COUNTIFS($C$6:$C61,"Risk",$H$6:$H61,"Open",$G$6:$G61,"Critical"),"")</f>
        <v/>
      </c>
    </row>
    <row r="62" customFormat="false" ht="15" hidden="false" customHeight="true" outlineLevel="0" collapsed="false">
      <c r="N62" s="45" t="str">
        <f aca="false">IF(AND($C62="Risk",$H62="Open",$G62="Critical"),COUNTIFS($C$6:$C62,"Risk",$H$6:$H62,"Open",$G$6:$G62,"Critical"),"")</f>
        <v/>
      </c>
    </row>
    <row r="63" customFormat="false" ht="15" hidden="false" customHeight="true" outlineLevel="0" collapsed="false">
      <c r="N63" s="45" t="str">
        <f aca="false">IF(AND($C63="Risk",$H63="Open",$G63="Critical"),COUNTIFS($C$6:$C63,"Risk",$H$6:$H63,"Open",$G$6:$G63,"Critical"),"")</f>
        <v/>
      </c>
    </row>
    <row r="64" customFormat="false" ht="15" hidden="false" customHeight="true" outlineLevel="0" collapsed="false">
      <c r="N64" s="45" t="str">
        <f aca="false">IF(AND($C64="Risk",$H64="Open",$G64="Critical"),COUNTIFS($C$6:$C64,"Risk",$H$6:$H64,"Open",$G$6:$G64,"Critical"),"")</f>
        <v/>
      </c>
    </row>
    <row r="65" customFormat="false" ht="15" hidden="false" customHeight="true" outlineLevel="0" collapsed="false">
      <c r="N65" s="45" t="str">
        <f aca="false">IF(AND($C65="Risk",$H65="Open",$G65="Critical"),COUNTIFS($C$6:$C65,"Risk",$H$6:$H65,"Open",$G$6:$G65,"Critical"),"")</f>
        <v/>
      </c>
    </row>
    <row r="66" customFormat="false" ht="15" hidden="false" customHeight="true" outlineLevel="0" collapsed="false">
      <c r="N66" s="45" t="str">
        <f aca="false">IF(AND($C66="Risk",$H66="Open",$G66="Critical"),COUNTIFS($C$6:$C66,"Risk",$H$6:$H66,"Open",$G$6:$G66,"Critical"),"")</f>
        <v/>
      </c>
    </row>
    <row r="67" customFormat="false" ht="15" hidden="false" customHeight="true" outlineLevel="0" collapsed="false">
      <c r="N67" s="45" t="str">
        <f aca="false">IF(AND($C67="Risk",$H67="Open",$G67="Critical"),COUNTIFS($C$6:$C67,"Risk",$H$6:$H67,"Open",$G$6:$G67,"Critical"),"")</f>
        <v/>
      </c>
    </row>
    <row r="68" customFormat="false" ht="15" hidden="false" customHeight="true" outlineLevel="0" collapsed="false">
      <c r="N68" s="45" t="str">
        <f aca="false">IF(AND($C68="Risk",$H68="Open",$G68="Critical"),COUNTIFS($C$6:$C68,"Risk",$H$6:$H68,"Open",$G$6:$G68,"Critical"),"")</f>
        <v/>
      </c>
    </row>
    <row r="69" customFormat="false" ht="15" hidden="false" customHeight="true" outlineLevel="0" collapsed="false">
      <c r="N69" s="45" t="str">
        <f aca="false">IF(AND($C69="Risk",$H69="Open",$G69="Critical"),COUNTIFS($C$6:$C69,"Risk",$H$6:$H69,"Open",$G$6:$G69,"Critical"),"")</f>
        <v/>
      </c>
    </row>
    <row r="70" customFormat="false" ht="15" hidden="false" customHeight="true" outlineLevel="0" collapsed="false">
      <c r="N70" s="45" t="str">
        <f aca="false">IF(AND($C70="Risk",$H70="Open",$G70="Critical"),COUNTIFS($C$6:$C70,"Risk",$H$6:$H70,"Open",$G$6:$G70,"Critical"),"")</f>
        <v/>
      </c>
    </row>
    <row r="71" customFormat="false" ht="15" hidden="false" customHeight="true" outlineLevel="0" collapsed="false">
      <c r="N71" s="45" t="str">
        <f aca="false">IF(AND($C71="Risk",$H71="Open",$G71="Critical"),COUNTIFS($C$6:$C71,"Risk",$H$6:$H71,"Open",$G$6:$G71,"Critical"),"")</f>
        <v/>
      </c>
    </row>
    <row r="72" customFormat="false" ht="15" hidden="false" customHeight="true" outlineLevel="0" collapsed="false">
      <c r="N72" s="45" t="str">
        <f aca="false">IF(AND($C72="Risk",$H72="Open",$G72="Critical"),COUNTIFS($C$6:$C72,"Risk",$H$6:$H72,"Open",$G$6:$G72,"Critical"),"")</f>
        <v/>
      </c>
    </row>
    <row r="73" customFormat="false" ht="15" hidden="false" customHeight="true" outlineLevel="0" collapsed="false">
      <c r="N73" s="45" t="str">
        <f aca="false">IF(AND($C73="Risk",$H73="Open",$G73="Critical"),COUNTIFS($C$6:$C73,"Risk",$H$6:$H73,"Open",$G$6:$G73,"Critical"),"")</f>
        <v/>
      </c>
    </row>
    <row r="74" customFormat="false" ht="15" hidden="false" customHeight="true" outlineLevel="0" collapsed="false">
      <c r="N74" s="45" t="str">
        <f aca="false">IF(AND($C74="Risk",$H74="Open",$G74="Critical"),COUNTIFS($C$6:$C74,"Risk",$H$6:$H74,"Open",$G$6:$G74,"Critical"),"")</f>
        <v/>
      </c>
    </row>
    <row r="75" customFormat="false" ht="15" hidden="false" customHeight="true" outlineLevel="0" collapsed="false">
      <c r="N75" s="45" t="str">
        <f aca="false">IF(AND($C75="Risk",$H75="Open",$G75="Critical"),COUNTIFS($C$6:$C75,"Risk",$H$6:$H75,"Open",$G$6:$G75,"Critical"),"")</f>
        <v/>
      </c>
    </row>
    <row r="76" customFormat="false" ht="15" hidden="false" customHeight="true" outlineLevel="0" collapsed="false">
      <c r="N76" s="45" t="str">
        <f aca="false">IF(AND($C76="Risk",$H76="Open",$G76="Critical"),COUNTIFS($C$6:$C76,"Risk",$H$6:$H76,"Open",$G$6:$G76,"Critical"),"")</f>
        <v/>
      </c>
    </row>
    <row r="77" customFormat="false" ht="15" hidden="false" customHeight="true" outlineLevel="0" collapsed="false">
      <c r="N77" s="45" t="str">
        <f aca="false">IF(AND($C77="Risk",$H77="Open",$G77="Critical"),COUNTIFS($C$6:$C77,"Risk",$H$6:$H77,"Open",$G$6:$G77,"Critical"),"")</f>
        <v/>
      </c>
    </row>
    <row r="78" customFormat="false" ht="15" hidden="false" customHeight="true" outlineLevel="0" collapsed="false">
      <c r="N78" s="45" t="str">
        <f aca="false">IF(AND($C78="Risk",$H78="Open",$G78="Critical"),COUNTIFS($C$6:$C78,"Risk",$H$6:$H78,"Open",$G$6:$G78,"Critical"),"")</f>
        <v/>
      </c>
    </row>
    <row r="79" customFormat="false" ht="15" hidden="false" customHeight="true" outlineLevel="0" collapsed="false">
      <c r="N79" s="45" t="str">
        <f aca="false">IF(AND($C79="Risk",$H79="Open",$G79="Critical"),COUNTIFS($C$6:$C79,"Risk",$H$6:$H79,"Open",$G$6:$G79,"Critical"),"")</f>
        <v/>
      </c>
    </row>
    <row r="80" customFormat="false" ht="15" hidden="false" customHeight="true" outlineLevel="0" collapsed="false">
      <c r="N80" s="45" t="str">
        <f aca="false">IF(AND($C80="Risk",$H80="Open",$G80="Critical"),COUNTIFS($C$6:$C80,"Risk",$H$6:$H80,"Open",$G$6:$G80,"Critical"),"")</f>
        <v/>
      </c>
    </row>
    <row r="81" customFormat="false" ht="15" hidden="false" customHeight="true" outlineLevel="0" collapsed="false">
      <c r="N81" s="45" t="str">
        <f aca="false">IF(AND($C81="Risk",$H81="Open",$G81="Critical"),COUNTIFS($C$6:$C81,"Risk",$H$6:$H81,"Open",$G$6:$G81,"Critical"),"")</f>
        <v/>
      </c>
    </row>
    <row r="82" customFormat="false" ht="15" hidden="false" customHeight="true" outlineLevel="0" collapsed="false">
      <c r="N82" s="45" t="str">
        <f aca="false">IF(AND($C82="Risk",$H82="Open",$G82="Critical"),COUNTIFS($C$6:$C82,"Risk",$H$6:$H82,"Open",$G$6:$G82,"Critical"),"")</f>
        <v/>
      </c>
    </row>
    <row r="83" customFormat="false" ht="15" hidden="false" customHeight="true" outlineLevel="0" collapsed="false">
      <c r="N83" s="45" t="str">
        <f aca="false">IF(AND($C83="Risk",$H83="Open",$G83="Critical"),COUNTIFS($C$6:$C83,"Risk",$H$6:$H83,"Open",$G$6:$G83,"Critical"),"")</f>
        <v/>
      </c>
    </row>
    <row r="84" customFormat="false" ht="15" hidden="false" customHeight="true" outlineLevel="0" collapsed="false">
      <c r="N84" s="45" t="str">
        <f aca="false">IF(AND($C84="Risk",$H84="Open",$G84="Critical"),COUNTIFS($C$6:$C84,"Risk",$H$6:$H84,"Open",$G$6:$G84,"Critical"),"")</f>
        <v/>
      </c>
    </row>
    <row r="85" customFormat="false" ht="15" hidden="false" customHeight="true" outlineLevel="0" collapsed="false">
      <c r="N85" s="45" t="str">
        <f aca="false">IF(AND($C85="Risk",$H85="Open",$G85="Critical"),COUNTIFS($C$6:$C85,"Risk",$H$6:$H85,"Open",$G$6:$G85,"Critical"),"")</f>
        <v/>
      </c>
    </row>
    <row r="86" customFormat="false" ht="15" hidden="false" customHeight="true" outlineLevel="0" collapsed="false">
      <c r="N86" s="45" t="str">
        <f aca="false">IF(AND($C86="Risk",$H86="Open",$G86="Critical"),COUNTIFS($C$6:$C86,"Risk",$H$6:$H86,"Open",$G$6:$G86,"Critical"),"")</f>
        <v/>
      </c>
    </row>
    <row r="87" customFormat="false" ht="15" hidden="false" customHeight="true" outlineLevel="0" collapsed="false">
      <c r="N87" s="45" t="str">
        <f aca="false">IF(AND($C87="Risk",$H87="Open",$G87="Critical"),COUNTIFS($C$6:$C87,"Risk",$H$6:$H87,"Open",$G$6:$G87,"Critical"),"")</f>
        <v/>
      </c>
    </row>
    <row r="88" customFormat="false" ht="15" hidden="false" customHeight="true" outlineLevel="0" collapsed="false">
      <c r="N88" s="45" t="str">
        <f aca="false">IF(AND($C88="Risk",$H88="Open",$G88="Critical"),COUNTIFS($C$6:$C88,"Risk",$H$6:$H88,"Open",$G$6:$G88,"Critical"),"")</f>
        <v/>
      </c>
    </row>
    <row r="89" customFormat="false" ht="15" hidden="false" customHeight="true" outlineLevel="0" collapsed="false">
      <c r="N89" s="45" t="str">
        <f aca="false">IF(AND($C89="Risk",$H89="Open",$G89="Critical"),COUNTIFS($C$6:$C89,"Risk",$H$6:$H89,"Open",$G$6:$G89,"Critical"),"")</f>
        <v/>
      </c>
    </row>
    <row r="90" customFormat="false" ht="15" hidden="false" customHeight="true" outlineLevel="0" collapsed="false">
      <c r="N90" s="45" t="str">
        <f aca="false">IF(AND($C90="Risk",$H90="Open",$G90="Critical"),COUNTIFS($C$6:$C90,"Risk",$H$6:$H90,"Open",$G$6:$G90,"Critical"),"")</f>
        <v/>
      </c>
    </row>
    <row r="91" customFormat="false" ht="15" hidden="false" customHeight="true" outlineLevel="0" collapsed="false">
      <c r="N91" s="45" t="str">
        <f aca="false">IF(AND($C91="Risk",$H91="Open",$G91="Critical"),COUNTIFS($C$6:$C91,"Risk",$H$6:$H91,"Open",$G$6:$G91,"Critical"),"")</f>
        <v/>
      </c>
    </row>
    <row r="92" customFormat="false" ht="15" hidden="false" customHeight="true" outlineLevel="0" collapsed="false">
      <c r="N92" s="45" t="str">
        <f aca="false">IF(AND($C92="Risk",$H92="Open",$G92="Critical"),COUNTIFS($C$6:$C92,"Risk",$H$6:$H92,"Open",$G$6:$G92,"Critical"),"")</f>
        <v/>
      </c>
    </row>
    <row r="93" customFormat="false" ht="15" hidden="false" customHeight="true" outlineLevel="0" collapsed="false">
      <c r="N93" s="45" t="str">
        <f aca="false">IF(AND($C93="Risk",$H93="Open",$G93="Critical"),COUNTIFS($C$6:$C93,"Risk",$H$6:$H93,"Open",$G$6:$G93,"Critical"),"")</f>
        <v/>
      </c>
    </row>
    <row r="94" customFormat="false" ht="15" hidden="false" customHeight="true" outlineLevel="0" collapsed="false">
      <c r="N94" s="45" t="str">
        <f aca="false">IF(AND($C94="Risk",$H94="Open",$G94="Critical"),COUNTIFS($C$6:$C94,"Risk",$H$6:$H94,"Open",$G$6:$G94,"Critical"),"")</f>
        <v/>
      </c>
    </row>
    <row r="95" customFormat="false" ht="15" hidden="false" customHeight="true" outlineLevel="0" collapsed="false">
      <c r="N95" s="45" t="str">
        <f aca="false">IF(AND($C95="Risk",$H95="Open",$G95="Critical"),COUNTIFS($C$6:$C95,"Risk",$H$6:$H95,"Open",$G$6:$G95,"Critical"),"")</f>
        <v/>
      </c>
    </row>
    <row r="96" customFormat="false" ht="15" hidden="false" customHeight="true" outlineLevel="0" collapsed="false">
      <c r="N96" s="45" t="str">
        <f aca="false">IF(AND($C96="Risk",$H96="Open",$G96="Critical"),COUNTIFS($C$6:$C96,"Risk",$H$6:$H96,"Open",$G$6:$G96,"Critical"),"")</f>
        <v/>
      </c>
    </row>
    <row r="97" customFormat="false" ht="15" hidden="false" customHeight="true" outlineLevel="0" collapsed="false">
      <c r="N97" s="45" t="str">
        <f aca="false">IF(AND($C97="Risk",$H97="Open",$G97="Critical"),COUNTIFS($C$6:$C97,"Risk",$H$6:$H97,"Open",$G$6:$G97,"Critical"),"")</f>
        <v/>
      </c>
    </row>
    <row r="98" customFormat="false" ht="15" hidden="false" customHeight="true" outlineLevel="0" collapsed="false">
      <c r="N98" s="45" t="str">
        <f aca="false">IF(AND($C98="Risk",$H98="Open",$G98="Critical"),COUNTIFS($C$6:$C98,"Risk",$H$6:$H98,"Open",$G$6:$G98,"Critical"),"")</f>
        <v/>
      </c>
    </row>
    <row r="99" customFormat="false" ht="15" hidden="false" customHeight="true" outlineLevel="0" collapsed="false">
      <c r="N99" s="45" t="str">
        <f aca="false">IF(AND($C99="Risk",$H99="Open",$G99="Critical"),COUNTIFS($C$6:$C99,"Risk",$H$6:$H99,"Open",$G$6:$G99,"Critical"),"")</f>
        <v/>
      </c>
    </row>
    <row r="100" customFormat="false" ht="15" hidden="false" customHeight="true" outlineLevel="0" collapsed="false">
      <c r="N100" s="45" t="str">
        <f aca="false">IF(AND($C100="Risk",$H100="Open",$G100="Critical"),COUNTIFS($C$6:$C100,"Risk",$H$6:$H100,"Open",$G$6:$G100,"Critical"),"")</f>
        <v/>
      </c>
    </row>
    <row r="101" customFormat="false" ht="15" hidden="false" customHeight="true" outlineLevel="0" collapsed="false">
      <c r="N101" s="45" t="str">
        <f aca="false">IF(AND($C101="Risk",$H101="Open",$G101="Critical"),COUNTIFS($C$6:$C101,"Risk",$H$6:$H101,"Open",$G$6:$G101,"Critical"),"")</f>
        <v/>
      </c>
    </row>
    <row r="102" customFormat="false" ht="15" hidden="false" customHeight="true" outlineLevel="0" collapsed="false">
      <c r="N102" s="45" t="str">
        <f aca="false">IF(AND($C102="Risk",$H102="Open",$G102="Critical"),COUNTIFS($C$6:$C102,"Risk",$H$6:$H102,"Open",$G$6:$G102,"Critical"),"")</f>
        <v/>
      </c>
    </row>
    <row r="103" customFormat="false" ht="15" hidden="false" customHeight="true" outlineLevel="0" collapsed="false">
      <c r="N103" s="45" t="str">
        <f aca="false">IF(AND($C103="Risk",$H103="Open",$G103="Critical"),COUNTIFS($C$6:$C103,"Risk",$H$6:$H103,"Open",$G$6:$G103,"Critical"),"")</f>
        <v/>
      </c>
    </row>
    <row r="104" customFormat="false" ht="15" hidden="false" customHeight="true" outlineLevel="0" collapsed="false">
      <c r="N104" s="45" t="str">
        <f aca="false">IF(AND($C104="Risk",$H104="Open",$G104="Critical"),COUNTIFS($C$6:$C104,"Risk",$H$6:$H104,"Open",$G$6:$G104,"Critical"),"")</f>
        <v/>
      </c>
    </row>
    <row r="105" customFormat="false" ht="15" hidden="false" customHeight="true" outlineLevel="0" collapsed="false">
      <c r="N105" s="45" t="str">
        <f aca="false">IF(AND($C105="Risk",$H105="Open",$G105="Critical"),COUNTIFS($C$6:$C105,"Risk",$H$6:$H105,"Open",$G$6:$G105,"Critical"),"")</f>
        <v/>
      </c>
    </row>
    <row r="106" customFormat="false" ht="15" hidden="false" customHeight="true" outlineLevel="0" collapsed="false">
      <c r="N106" s="45" t="str">
        <f aca="false">IF(AND($C106="Risk",$H106="Open",$G106="Critical"),COUNTIFS($C$6:$C106,"Risk",$H$6:$H106,"Open",$G$6:$G106,"Critical"),"")</f>
        <v/>
      </c>
    </row>
    <row r="107" customFormat="false" ht="15" hidden="false" customHeight="true" outlineLevel="0" collapsed="false">
      <c r="N107" s="45" t="str">
        <f aca="false">IF(AND($C107="Risk",$H107="Open",$G107="Critical"),COUNTIFS($C$6:$C107,"Risk",$H$6:$H107,"Open",$G$6:$G107,"Critical"),"")</f>
        <v/>
      </c>
    </row>
    <row r="108" customFormat="false" ht="15" hidden="false" customHeight="true" outlineLevel="0" collapsed="false">
      <c r="N108" s="45" t="str">
        <f aca="false">IF(AND($C108="Risk",$H108="Open",$G108="Critical"),COUNTIFS($C$6:$C108,"Risk",$H$6:$H108,"Open",$G$6:$G108,"Critical"),"")</f>
        <v/>
      </c>
    </row>
    <row r="109" customFormat="false" ht="15" hidden="false" customHeight="true" outlineLevel="0" collapsed="false">
      <c r="N109" s="45" t="str">
        <f aca="false">IF(AND($C109="Risk",$H109="Open",$G109="Critical"),COUNTIFS($C$6:$C109,"Risk",$H$6:$H109,"Open",$G$6:$G109,"Critical"),"")</f>
        <v/>
      </c>
    </row>
    <row r="110" customFormat="false" ht="15" hidden="false" customHeight="true" outlineLevel="0" collapsed="false">
      <c r="N110" s="45" t="str">
        <f aca="false">IF(AND($C110="Risk",$H110="Open",$G110="Critical"),COUNTIFS($C$6:$C110,"Risk",$H$6:$H110,"Open",$G$6:$G110,"Critical"),"")</f>
        <v/>
      </c>
    </row>
    <row r="111" customFormat="false" ht="15" hidden="false" customHeight="true" outlineLevel="0" collapsed="false">
      <c r="N111" s="45" t="str">
        <f aca="false">IF(AND($C111="Risk",$H111="Open",$G111="Critical"),COUNTIFS($C$6:$C111,"Risk",$H$6:$H111,"Open",$G$6:$G111,"Critical"),"")</f>
        <v/>
      </c>
    </row>
    <row r="112" customFormat="false" ht="15" hidden="false" customHeight="true" outlineLevel="0" collapsed="false">
      <c r="N112" s="45" t="str">
        <f aca="false">IF(AND($C112="Risk",$H112="Open",$G112="Critical"),COUNTIFS($C$6:$C112,"Risk",$H$6:$H112,"Open",$G$6:$G112,"Critical"),"")</f>
        <v/>
      </c>
    </row>
    <row r="113" customFormat="false" ht="15" hidden="false" customHeight="true" outlineLevel="0" collapsed="false">
      <c r="N113" s="45" t="str">
        <f aca="false">IF(AND($C113="Risk",$H113="Open",$G113="Critical"),COUNTIFS($C$6:$C113,"Risk",$H$6:$H113,"Open",$G$6:$G113,"Critical"),"")</f>
        <v/>
      </c>
    </row>
    <row r="114" customFormat="false" ht="15" hidden="false" customHeight="true" outlineLevel="0" collapsed="false">
      <c r="N114" s="45" t="str">
        <f aca="false">IF(AND($C114="Risk",$H114="Open",$G114="Critical"),COUNTIFS($C$6:$C114,"Risk",$H$6:$H114,"Open",$G$6:$G114,"Critical"),"")</f>
        <v/>
      </c>
    </row>
    <row r="115" customFormat="false" ht="15" hidden="false" customHeight="true" outlineLevel="0" collapsed="false">
      <c r="N115" s="45" t="str">
        <f aca="false">IF(AND($C115="Risk",$H115="Open",$G115="Critical"),COUNTIFS($C$6:$C115,"Risk",$H$6:$H115,"Open",$G$6:$G115,"Critical"),"")</f>
        <v/>
      </c>
    </row>
    <row r="116" customFormat="false" ht="15" hidden="false" customHeight="true" outlineLevel="0" collapsed="false">
      <c r="N116" s="45" t="str">
        <f aca="false">IF(AND($C116="Risk",$H116="Open",$G116="Critical"),COUNTIFS($C$6:$C116,"Risk",$H$6:$H116,"Open",$G$6:$G116,"Critical"),"")</f>
        <v/>
      </c>
    </row>
    <row r="117" customFormat="false" ht="15" hidden="false" customHeight="true" outlineLevel="0" collapsed="false">
      <c r="N117" s="45" t="str">
        <f aca="false">IF(AND($C117="Risk",$H117="Open",$G117="Critical"),COUNTIFS($C$6:$C117,"Risk",$H$6:$H117,"Open",$G$6:$G117,"Critical"),"")</f>
        <v/>
      </c>
    </row>
    <row r="118" customFormat="false" ht="15" hidden="false" customHeight="true" outlineLevel="0" collapsed="false">
      <c r="N118" s="45" t="str">
        <f aca="false">IF(AND($C118="Risk",$H118="Open",$G118="Critical"),COUNTIFS($C$6:$C118,"Risk",$H$6:$H118,"Open",$G$6:$G118,"Critical"),"")</f>
        <v/>
      </c>
    </row>
    <row r="119" customFormat="false" ht="15" hidden="false" customHeight="true" outlineLevel="0" collapsed="false">
      <c r="N119" s="45" t="str">
        <f aca="false">IF(AND($C119="Risk",$H119="Open",$G119="Critical"),COUNTIFS($C$6:$C119,"Risk",$H$6:$H119,"Open",$G$6:$G119,"Critical"),"")</f>
        <v/>
      </c>
    </row>
    <row r="120" customFormat="false" ht="15" hidden="false" customHeight="true" outlineLevel="0" collapsed="false">
      <c r="N120" s="45" t="str">
        <f aca="false">IF(AND($C120="Risk",$H120="Open",$G120="Critical"),COUNTIFS($C$6:$C120,"Risk",$H$6:$H120,"Open",$G$6:$G120,"Critical"),"")</f>
        <v/>
      </c>
    </row>
    <row r="121" customFormat="false" ht="15" hidden="false" customHeight="true" outlineLevel="0" collapsed="false">
      <c r="N121" s="45" t="str">
        <f aca="false">IF(AND($C121="Risk",$H121="Open",$G121="Critical"),COUNTIFS($C$6:$C121,"Risk",$H$6:$H121,"Open",$G$6:$G121,"Critical"),"")</f>
        <v/>
      </c>
    </row>
    <row r="122" customFormat="false" ht="15" hidden="false" customHeight="true" outlineLevel="0" collapsed="false">
      <c r="N122" s="45" t="str">
        <f aca="false">IF(AND($C122="Risk",$H122="Open",$G122="Critical"),COUNTIFS($C$6:$C122,"Risk",$H$6:$H122,"Open",$G$6:$G122,"Critical"),"")</f>
        <v/>
      </c>
    </row>
    <row r="123" customFormat="false" ht="15" hidden="false" customHeight="true" outlineLevel="0" collapsed="false">
      <c r="N123" s="45" t="str">
        <f aca="false">IF(AND($C123="Risk",$H123="Open",$G123="Critical"),COUNTIFS($C$6:$C123,"Risk",$H$6:$H123,"Open",$G$6:$G123,"Critical"),"")</f>
        <v/>
      </c>
    </row>
    <row r="124" customFormat="false" ht="15" hidden="false" customHeight="true" outlineLevel="0" collapsed="false">
      <c r="N124" s="45" t="str">
        <f aca="false">IF(AND($C124="Risk",$H124="Open",$G124="Critical"),COUNTIFS($C$6:$C124,"Risk",$H$6:$H124,"Open",$G$6:$G124,"Critical"),"")</f>
        <v/>
      </c>
    </row>
    <row r="125" customFormat="false" ht="15" hidden="false" customHeight="true" outlineLevel="0" collapsed="false">
      <c r="N125" s="45" t="str">
        <f aca="false">IF(AND($C125="Risk",$H125="Open",$G125="Critical"),COUNTIFS($C$6:$C125,"Risk",$H$6:$H125,"Open",$G$6:$G125,"Critical"),"")</f>
        <v/>
      </c>
    </row>
    <row r="126" customFormat="false" ht="15" hidden="false" customHeight="true" outlineLevel="0" collapsed="false">
      <c r="N126" s="45" t="str">
        <f aca="false">IF(AND($C126="Risk",$H126="Open",$G126="Critical"),COUNTIFS($C$6:$C126,"Risk",$H$6:$H126,"Open",$G$6:$G126,"Critical"),"")</f>
        <v/>
      </c>
    </row>
    <row r="127" customFormat="false" ht="15" hidden="false" customHeight="true" outlineLevel="0" collapsed="false">
      <c r="N127" s="45" t="str">
        <f aca="false">IF(AND($C127="Risk",$H127="Open",$G127="Critical"),COUNTIFS($C$6:$C127,"Risk",$H$6:$H127,"Open",$G$6:$G127,"Critical"),"")</f>
        <v/>
      </c>
    </row>
    <row r="128" customFormat="false" ht="15" hidden="false" customHeight="true" outlineLevel="0" collapsed="false">
      <c r="N128" s="45" t="str">
        <f aca="false">IF(AND($C128="Risk",$H128="Open",$G128="Critical"),COUNTIFS($C$6:$C128,"Risk",$H$6:$H128,"Open",$G$6:$G128,"Critical"),"")</f>
        <v/>
      </c>
    </row>
    <row r="129" customFormat="false" ht="15" hidden="false" customHeight="true" outlineLevel="0" collapsed="false">
      <c r="N129" s="45" t="str">
        <f aca="false">IF(AND($C129="Risk",$H129="Open",$G129="Critical"),COUNTIFS($C$6:$C129,"Risk",$H$6:$H129,"Open",$G$6:$G129,"Critical"),"")</f>
        <v/>
      </c>
    </row>
    <row r="130" customFormat="false" ht="15" hidden="false" customHeight="true" outlineLevel="0" collapsed="false">
      <c r="N130" s="45" t="str">
        <f aca="false">IF(AND($C130="Risk",$H130="Open",$G130="Critical"),COUNTIFS($C$6:$C130,"Risk",$H$6:$H130,"Open",$G$6:$G130,"Critical"),"")</f>
        <v/>
      </c>
    </row>
    <row r="131" customFormat="false" ht="15" hidden="false" customHeight="true" outlineLevel="0" collapsed="false">
      <c r="N131" s="45" t="str">
        <f aca="false">IF(AND($C131="Risk",$H131="Open",$G131="Critical"),COUNTIFS($C$6:$C131,"Risk",$H$6:$H131,"Open",$G$6:$G131,"Critical"),"")</f>
        <v/>
      </c>
    </row>
    <row r="132" customFormat="false" ht="15" hidden="false" customHeight="true" outlineLevel="0" collapsed="false">
      <c r="N132" s="45" t="str">
        <f aca="false">IF(AND($C132="Risk",$H132="Open",$G132="Critical"),COUNTIFS($C$6:$C132,"Risk",$H$6:$H132,"Open",$G$6:$G132,"Critical"),"")</f>
        <v/>
      </c>
    </row>
    <row r="133" customFormat="false" ht="15" hidden="false" customHeight="true" outlineLevel="0" collapsed="false">
      <c r="N133" s="45" t="str">
        <f aca="false">IF(AND($C133="Risk",$H133="Open",$G133="Critical"),COUNTIFS($C$6:$C133,"Risk",$H$6:$H133,"Open",$G$6:$G133,"Critical"),"")</f>
        <v/>
      </c>
    </row>
    <row r="134" customFormat="false" ht="15" hidden="false" customHeight="true" outlineLevel="0" collapsed="false">
      <c r="N134" s="45" t="str">
        <f aca="false">IF(AND($C134="Risk",$H134="Open",$G134="Critical"),COUNTIFS($C$6:$C134,"Risk",$H$6:$H134,"Open",$G$6:$G134,"Critical"),"")</f>
        <v/>
      </c>
    </row>
    <row r="135" customFormat="false" ht="15" hidden="false" customHeight="true" outlineLevel="0" collapsed="false">
      <c r="N135" s="45" t="str">
        <f aca="false">IF(AND($C135="Risk",$H135="Open",$G135="Critical"),COUNTIFS($C$6:$C135,"Risk",$H$6:$H135,"Open",$G$6:$G135,"Critical"),"")</f>
        <v/>
      </c>
    </row>
    <row r="136" customFormat="false" ht="15" hidden="false" customHeight="true" outlineLevel="0" collapsed="false">
      <c r="N136" s="45" t="str">
        <f aca="false">IF(AND($C136="Risk",$H136="Open",$G136="Critical"),COUNTIFS($C$6:$C136,"Risk",$H$6:$H136,"Open",$G$6:$G136,"Critical"),"")</f>
        <v/>
      </c>
    </row>
    <row r="137" customFormat="false" ht="15" hidden="false" customHeight="true" outlineLevel="0" collapsed="false">
      <c r="N137" s="45" t="str">
        <f aca="false">IF(AND($C137="Risk",$H137="Open",$G137="Critical"),COUNTIFS($C$6:$C137,"Risk",$H$6:$H137,"Open",$G$6:$G137,"Critical"),"")</f>
        <v/>
      </c>
    </row>
    <row r="138" customFormat="false" ht="15" hidden="false" customHeight="true" outlineLevel="0" collapsed="false">
      <c r="N138" s="45" t="str">
        <f aca="false">IF(AND($C138="Risk",$H138="Open",$G138="Critical"),COUNTIFS($C$6:$C138,"Risk",$H$6:$H138,"Open",$G$6:$G138,"Critical"),"")</f>
        <v/>
      </c>
    </row>
    <row r="139" customFormat="false" ht="15" hidden="false" customHeight="true" outlineLevel="0" collapsed="false">
      <c r="N139" s="45" t="str">
        <f aca="false">IF(AND($C139="Risk",$H139="Open",$G139="Critical"),COUNTIFS($C$6:$C139,"Risk",$H$6:$H139,"Open",$G$6:$G139,"Critical"),"")</f>
        <v/>
      </c>
    </row>
    <row r="140" customFormat="false" ht="15" hidden="false" customHeight="true" outlineLevel="0" collapsed="false">
      <c r="N140" s="45" t="str">
        <f aca="false">IF(AND($C140="Risk",$H140="Open",$G140="Critical"),COUNTIFS($C$6:$C140,"Risk",$H$6:$H140,"Open",$G$6:$G140,"Critical"),"")</f>
        <v/>
      </c>
    </row>
    <row r="141" customFormat="false" ht="15" hidden="false" customHeight="true" outlineLevel="0" collapsed="false">
      <c r="N141" s="45" t="str">
        <f aca="false">IF(AND($C141="Risk",$H141="Open",$G141="Critical"),COUNTIFS($C$6:$C141,"Risk",$H$6:$H141,"Open",$G$6:$G141,"Critical"),"")</f>
        <v/>
      </c>
    </row>
    <row r="142" customFormat="false" ht="15" hidden="false" customHeight="true" outlineLevel="0" collapsed="false">
      <c r="N142" s="45" t="str">
        <f aca="false">IF(AND($C142="Risk",$H142="Open",$G142="Critical"),COUNTIFS($C$6:$C142,"Risk",$H$6:$H142,"Open",$G$6:$G142,"Critical"),"")</f>
        <v/>
      </c>
    </row>
    <row r="143" customFormat="false" ht="15" hidden="false" customHeight="true" outlineLevel="0" collapsed="false">
      <c r="N143" s="45" t="str">
        <f aca="false">IF(AND($C143="Risk",$H143="Open",$G143="Critical"),COUNTIFS($C$6:$C143,"Risk",$H$6:$H143,"Open",$G$6:$G143,"Critical"),"")</f>
        <v/>
      </c>
    </row>
    <row r="144" customFormat="false" ht="15" hidden="false" customHeight="true" outlineLevel="0" collapsed="false">
      <c r="N144" s="45" t="str">
        <f aca="false">IF(AND($C144="Risk",$H144="Open",$G144="Critical"),COUNTIFS($C$6:$C144,"Risk",$H$6:$H144,"Open",$G$6:$G144,"Critical"),"")</f>
        <v/>
      </c>
    </row>
    <row r="145" customFormat="false" ht="15" hidden="false" customHeight="true" outlineLevel="0" collapsed="false">
      <c r="N145" s="45" t="str">
        <f aca="false">IF(AND($C145="Risk",$H145="Open",$G145="Critical"),COUNTIFS($C$6:$C145,"Risk",$H$6:$H145,"Open",$G$6:$G145,"Critical"),"")</f>
        <v/>
      </c>
    </row>
    <row r="146" customFormat="false" ht="15" hidden="false" customHeight="true" outlineLevel="0" collapsed="false">
      <c r="N146" s="45" t="str">
        <f aca="false">IF(AND($C146="Risk",$H146="Open",$G146="Critical"),COUNTIFS($C$6:$C146,"Risk",$H$6:$H146,"Open",$G$6:$G146,"Critical"),"")</f>
        <v/>
      </c>
    </row>
    <row r="147" customFormat="false" ht="15" hidden="false" customHeight="true" outlineLevel="0" collapsed="false">
      <c r="N147" s="45" t="str">
        <f aca="false">IF(AND($C147="Risk",$H147="Open",$G147="Critical"),COUNTIFS($C$6:$C147,"Risk",$H$6:$H147,"Open",$G$6:$G147,"Critical"),"")</f>
        <v/>
      </c>
    </row>
    <row r="148" customFormat="false" ht="15" hidden="false" customHeight="true" outlineLevel="0" collapsed="false">
      <c r="N148" s="45" t="str">
        <f aca="false">IF(AND($C148="Risk",$H148="Open",$G148="Critical"),COUNTIFS($C$6:$C148,"Risk",$H$6:$H148,"Open",$G$6:$G148,"Critical"),"")</f>
        <v/>
      </c>
    </row>
    <row r="149" customFormat="false" ht="15" hidden="false" customHeight="true" outlineLevel="0" collapsed="false">
      <c r="N149" s="45" t="str">
        <f aca="false">IF(AND($C149="Risk",$H149="Open",$G149="Critical"),COUNTIFS($C$6:$C149,"Risk",$H$6:$H149,"Open",$G$6:$G149,"Critical"),"")</f>
        <v/>
      </c>
    </row>
    <row r="150" customFormat="false" ht="15" hidden="false" customHeight="true" outlineLevel="0" collapsed="false">
      <c r="N150" s="45" t="str">
        <f aca="false">IF(AND($C150="Risk",$H150="Open",$G150="Critical"),COUNTIFS($C$6:$C150,"Risk",$H$6:$H150,"Open",$G$6:$G150,"Critical"),"")</f>
        <v/>
      </c>
    </row>
    <row r="151" customFormat="false" ht="15" hidden="false" customHeight="true" outlineLevel="0" collapsed="false">
      <c r="N151" s="45" t="str">
        <f aca="false">IF(AND($C151="Risk",$H151="Open",$G151="Critical"),COUNTIFS($C$6:$C151,"Risk",$H$6:$H151,"Open",$G$6:$G151,"Critical"),"")</f>
        <v/>
      </c>
    </row>
    <row r="152" customFormat="false" ht="15" hidden="false" customHeight="true" outlineLevel="0" collapsed="false">
      <c r="N152" s="45" t="str">
        <f aca="false">IF(AND($C152="Risk",$H152="Open",$G152="Critical"),COUNTIFS($C$6:$C152,"Risk",$H$6:$H152,"Open",$G$6:$G152,"Critical"),"")</f>
        <v/>
      </c>
    </row>
    <row r="153" customFormat="false" ht="15" hidden="false" customHeight="true" outlineLevel="0" collapsed="false">
      <c r="N153" s="45" t="str">
        <f aca="false">IF(AND($C153="Risk",$H153="Open",$G153="Critical"),COUNTIFS($C$6:$C153,"Risk",$H$6:$H153,"Open",$G$6:$G153,"Critical"),"")</f>
        <v/>
      </c>
    </row>
    <row r="154" customFormat="false" ht="15" hidden="false" customHeight="true" outlineLevel="0" collapsed="false">
      <c r="N154" s="45" t="str">
        <f aca="false">IF(AND($C154="Risk",$H154="Open",$G154="Critical"),COUNTIFS($C$6:$C154,"Risk",$H$6:$H154,"Open",$G$6:$G154,"Critical"),"")</f>
        <v/>
      </c>
    </row>
    <row r="155" customFormat="false" ht="15" hidden="false" customHeight="true" outlineLevel="0" collapsed="false">
      <c r="N155" s="45" t="str">
        <f aca="false">IF(AND($C155="Risk",$H155="Open",$G155="Critical"),COUNTIFS($C$6:$C155,"Risk",$H$6:$H155,"Open",$G$6:$G155,"Critical"),"")</f>
        <v/>
      </c>
    </row>
    <row r="156" customFormat="false" ht="15" hidden="false" customHeight="true" outlineLevel="0" collapsed="false">
      <c r="N156" s="45" t="str">
        <f aca="false">IF(AND($C156="Risk",$H156="Open",$G156="Critical"),COUNTIFS($C$6:$C156,"Risk",$H$6:$H156,"Open",$G$6:$G156,"Critical"),"")</f>
        <v/>
      </c>
    </row>
    <row r="157" customFormat="false" ht="15" hidden="false" customHeight="true" outlineLevel="0" collapsed="false">
      <c r="N157" s="45" t="str">
        <f aca="false">IF(AND($C157="Risk",$H157="Open",$G157="Critical"),COUNTIFS($C$6:$C157,"Risk",$H$6:$H157,"Open",$G$6:$G157,"Critical"),"")</f>
        <v/>
      </c>
    </row>
    <row r="158" customFormat="false" ht="15" hidden="false" customHeight="true" outlineLevel="0" collapsed="false">
      <c r="N158" s="45" t="str">
        <f aca="false">IF(AND($C158="Risk",$H158="Open",$G158="Critical"),COUNTIFS($C$6:$C158,"Risk",$H$6:$H158,"Open",$G$6:$G158,"Critical"),"")</f>
        <v/>
      </c>
    </row>
    <row r="159" customFormat="false" ht="15" hidden="false" customHeight="true" outlineLevel="0" collapsed="false">
      <c r="N159" s="45" t="str">
        <f aca="false">IF(AND($C159="Risk",$H159="Open",$G159="Critical"),COUNTIFS($C$6:$C159,"Risk",$H$6:$H159,"Open",$G$6:$G159,"Critical"),"")</f>
        <v/>
      </c>
    </row>
    <row r="160" customFormat="false" ht="15" hidden="false" customHeight="true" outlineLevel="0" collapsed="false">
      <c r="N160" s="45" t="str">
        <f aca="false">IF(AND($C160="Risk",$H160="Open",$G160="Critical"),COUNTIFS($C$6:$C160,"Risk",$H$6:$H160,"Open",$G$6:$G160,"Critical"),"")</f>
        <v/>
      </c>
    </row>
    <row r="161" customFormat="false" ht="15" hidden="false" customHeight="true" outlineLevel="0" collapsed="false">
      <c r="N161" s="45" t="str">
        <f aca="false">IF(AND($C161="Risk",$H161="Open",$G161="Critical"),COUNTIFS($C$6:$C161,"Risk",$H$6:$H161,"Open",$G$6:$G161,"Critical"),"")</f>
        <v/>
      </c>
    </row>
    <row r="162" customFormat="false" ht="15" hidden="false" customHeight="true" outlineLevel="0" collapsed="false">
      <c r="N162" s="45" t="str">
        <f aca="false">IF(AND($C162="Risk",$H162="Open",$G162="Critical"),COUNTIFS($C$6:$C162,"Risk",$H$6:$H162,"Open",$G$6:$G162,"Critical"),"")</f>
        <v/>
      </c>
    </row>
    <row r="163" customFormat="false" ht="15" hidden="false" customHeight="true" outlineLevel="0" collapsed="false">
      <c r="N163" s="45" t="str">
        <f aca="false">IF(AND($C163="Risk",$H163="Open",$G163="Critical"),COUNTIFS($C$6:$C163,"Risk",$H$6:$H163,"Open",$G$6:$G163,"Critical"),"")</f>
        <v/>
      </c>
    </row>
    <row r="164" customFormat="false" ht="15" hidden="false" customHeight="true" outlineLevel="0" collapsed="false">
      <c r="N164" s="45" t="str">
        <f aca="false">IF(AND($C164="Risk",$H164="Open",$G164="Critical"),COUNTIFS($C$6:$C164,"Risk",$H$6:$H164,"Open",$G$6:$G164,"Critical"),"")</f>
        <v/>
      </c>
    </row>
    <row r="165" customFormat="false" ht="15" hidden="false" customHeight="true" outlineLevel="0" collapsed="false">
      <c r="N165" s="45" t="str">
        <f aca="false">IF(AND($C165="Risk",$H165="Open",$G165="Critical"),COUNTIFS($C$6:$C165,"Risk",$H$6:$H165,"Open",$G$6:$G165,"Critical"),"")</f>
        <v/>
      </c>
    </row>
    <row r="166" customFormat="false" ht="15" hidden="false" customHeight="true" outlineLevel="0" collapsed="false">
      <c r="N166" s="45" t="str">
        <f aca="false">IF(AND($C166="Risk",$H166="Open",$G166="Critical"),COUNTIFS($C$6:$C166,"Risk",$H$6:$H166,"Open",$G$6:$G166,"Critical"),"")</f>
        <v/>
      </c>
    </row>
    <row r="167" customFormat="false" ht="15" hidden="false" customHeight="true" outlineLevel="0" collapsed="false">
      <c r="N167" s="45" t="str">
        <f aca="false">IF(AND($C167="Risk",$H167="Open",$G167="Critical"),COUNTIFS($C$6:$C167,"Risk",$H$6:$H167,"Open",$G$6:$G167,"Critical"),"")</f>
        <v/>
      </c>
    </row>
    <row r="168" customFormat="false" ht="15" hidden="false" customHeight="true" outlineLevel="0" collapsed="false">
      <c r="N168" s="45" t="str">
        <f aca="false">IF(AND($C168="Risk",$H168="Open",$G168="Critical"),COUNTIFS($C$6:$C168,"Risk",$H$6:$H168,"Open",$G$6:$G168,"Critical"),"")</f>
        <v/>
      </c>
    </row>
    <row r="169" customFormat="false" ht="15" hidden="false" customHeight="true" outlineLevel="0" collapsed="false">
      <c r="N169" s="45" t="str">
        <f aca="false">IF(AND($C169="Risk",$H169="Open",$G169="Critical"),COUNTIFS($C$6:$C169,"Risk",$H$6:$H169,"Open",$G$6:$G169,"Critical"),"")</f>
        <v/>
      </c>
    </row>
    <row r="170" customFormat="false" ht="15" hidden="false" customHeight="true" outlineLevel="0" collapsed="false">
      <c r="N170" s="45" t="str">
        <f aca="false">IF(AND($C170="Risk",$H170="Open",$G170="Critical"),COUNTIFS($C$6:$C170,"Risk",$H$6:$H170,"Open",$G$6:$G170,"Critical"),"")</f>
        <v/>
      </c>
    </row>
    <row r="171" customFormat="false" ht="15" hidden="false" customHeight="true" outlineLevel="0" collapsed="false">
      <c r="N171" s="45" t="str">
        <f aca="false">IF(AND($C171="Risk",$H171="Open",$G171="Critical"),COUNTIFS($C$6:$C171,"Risk",$H$6:$H171,"Open",$G$6:$G171,"Critical"),"")</f>
        <v/>
      </c>
    </row>
    <row r="172" customFormat="false" ht="15" hidden="false" customHeight="true" outlineLevel="0" collapsed="false">
      <c r="N172" s="45" t="str">
        <f aca="false">IF(AND($C172="Risk",$H172="Open",$G172="Critical"),COUNTIFS($C$6:$C172,"Risk",$H$6:$H172,"Open",$G$6:$G172,"Critical"),"")</f>
        <v/>
      </c>
    </row>
    <row r="173" customFormat="false" ht="15" hidden="false" customHeight="true" outlineLevel="0" collapsed="false">
      <c r="N173" s="45" t="str">
        <f aca="false">IF(AND($C173="Risk",$H173="Open",$G173="Critical"),COUNTIFS($C$6:$C173,"Risk",$H$6:$H173,"Open",$G$6:$G173,"Critical"),"")</f>
        <v/>
      </c>
    </row>
    <row r="174" customFormat="false" ht="15" hidden="false" customHeight="true" outlineLevel="0" collapsed="false">
      <c r="N174" s="45" t="str">
        <f aca="false">IF(AND($C174="Risk",$H174="Open",$G174="Critical"),COUNTIFS($C$6:$C174,"Risk",$H$6:$H174,"Open",$G$6:$G174,"Critical"),"")</f>
        <v/>
      </c>
    </row>
    <row r="175" customFormat="false" ht="15" hidden="false" customHeight="true" outlineLevel="0" collapsed="false">
      <c r="N175" s="45" t="str">
        <f aca="false">IF(AND($C175="Risk",$H175="Open",$G175="Critical"),COUNTIFS($C$6:$C175,"Risk",$H$6:$H175,"Open",$G$6:$G175,"Critical"),"")</f>
        <v/>
      </c>
    </row>
    <row r="176" customFormat="false" ht="15" hidden="false" customHeight="true" outlineLevel="0" collapsed="false">
      <c r="N176" s="45" t="str">
        <f aca="false">IF(AND($C176="Risk",$H176="Open",$G176="Critical"),COUNTIFS($C$6:$C176,"Risk",$H$6:$H176,"Open",$G$6:$G176,"Critical"),"")</f>
        <v/>
      </c>
    </row>
    <row r="177" customFormat="false" ht="15" hidden="false" customHeight="true" outlineLevel="0" collapsed="false">
      <c r="N177" s="45" t="str">
        <f aca="false">IF(AND($C177="Risk",$H177="Open",$G177="Critical"),COUNTIFS($C$6:$C177,"Risk",$H$6:$H177,"Open",$G$6:$G177,"Critical"),"")</f>
        <v/>
      </c>
    </row>
    <row r="178" customFormat="false" ht="15" hidden="false" customHeight="true" outlineLevel="0" collapsed="false">
      <c r="N178" s="45" t="str">
        <f aca="false">IF(AND($C178="Risk",$H178="Open",$G178="Critical"),COUNTIFS($C$6:$C178,"Risk",$H$6:$H178,"Open",$G$6:$G178,"Critical"),"")</f>
        <v/>
      </c>
    </row>
    <row r="179" customFormat="false" ht="15" hidden="false" customHeight="true" outlineLevel="0" collapsed="false">
      <c r="N179" s="45" t="str">
        <f aca="false">IF(AND($C179="Risk",$H179="Open",$G179="Critical"),COUNTIFS($C$6:$C179,"Risk",$H$6:$H179,"Open",$G$6:$G179,"Critical"),"")</f>
        <v/>
      </c>
    </row>
    <row r="180" customFormat="false" ht="15" hidden="false" customHeight="true" outlineLevel="0" collapsed="false">
      <c r="N180" s="45" t="str">
        <f aca="false">IF(AND($C180="Risk",$H180="Open",$G180="Critical"),COUNTIFS($C$6:$C180,"Risk",$H$6:$H180,"Open",$G$6:$G180,"Critical"),"")</f>
        <v/>
      </c>
    </row>
    <row r="181" customFormat="false" ht="15" hidden="false" customHeight="true" outlineLevel="0" collapsed="false">
      <c r="N181" s="45" t="str">
        <f aca="false">IF(AND($C181="Risk",$H181="Open",$G181="Critical"),COUNTIFS($C$6:$C181,"Risk",$H$6:$H181,"Open",$G$6:$G181,"Critical"),"")</f>
        <v/>
      </c>
    </row>
    <row r="182" customFormat="false" ht="15" hidden="false" customHeight="true" outlineLevel="0" collapsed="false">
      <c r="N182" s="45" t="str">
        <f aca="false">IF(AND($C182="Risk",$H182="Open",$G182="Critical"),COUNTIFS($C$6:$C182,"Risk",$H$6:$H182,"Open",$G$6:$G182,"Critical"),"")</f>
        <v/>
      </c>
    </row>
    <row r="183" customFormat="false" ht="15" hidden="false" customHeight="true" outlineLevel="0" collapsed="false">
      <c r="N183" s="45" t="str">
        <f aca="false">IF(AND($C183="Risk",$H183="Open",$G183="Critical"),COUNTIFS($C$6:$C183,"Risk",$H$6:$H183,"Open",$G$6:$G183,"Critical"),"")</f>
        <v/>
      </c>
    </row>
    <row r="184" customFormat="false" ht="15" hidden="false" customHeight="true" outlineLevel="0" collapsed="false">
      <c r="N184" s="45" t="str">
        <f aca="false">IF(AND($C184="Risk",$H184="Open",$G184="Critical"),COUNTIFS($C$6:$C184,"Risk",$H$6:$H184,"Open",$G$6:$G184,"Critical"),"")</f>
        <v/>
      </c>
    </row>
    <row r="185" customFormat="false" ht="15" hidden="false" customHeight="true" outlineLevel="0" collapsed="false">
      <c r="N185" s="45" t="str">
        <f aca="false">IF(AND($C185="Risk",$H185="Open",$G185="Critical"),COUNTIFS($C$6:$C185,"Risk",$H$6:$H185,"Open",$G$6:$G185,"Critical"),"")</f>
        <v/>
      </c>
    </row>
    <row r="186" customFormat="false" ht="15" hidden="false" customHeight="true" outlineLevel="0" collapsed="false">
      <c r="N186" s="45" t="str">
        <f aca="false">IF(AND($C186="Risk",$H186="Open",$G186="Critical"),COUNTIFS($C$6:$C186,"Risk",$H$6:$H186,"Open",$G$6:$G186,"Critical"),"")</f>
        <v/>
      </c>
    </row>
    <row r="187" customFormat="false" ht="15" hidden="false" customHeight="true" outlineLevel="0" collapsed="false">
      <c r="N187" s="45" t="str">
        <f aca="false">IF(AND($C187="Risk",$H187="Open",$G187="Critical"),COUNTIFS($C$6:$C187,"Risk",$H$6:$H187,"Open",$G$6:$G187,"Critical"),"")</f>
        <v/>
      </c>
    </row>
    <row r="188" customFormat="false" ht="15" hidden="false" customHeight="true" outlineLevel="0" collapsed="false">
      <c r="N188" s="45" t="str">
        <f aca="false">IF(AND($C188="Risk",$H188="Open",$G188="Critical"),COUNTIFS($C$6:$C188,"Risk",$H$6:$H188,"Open",$G$6:$G188,"Critical"),"")</f>
        <v/>
      </c>
    </row>
    <row r="189" customFormat="false" ht="15" hidden="false" customHeight="true" outlineLevel="0" collapsed="false">
      <c r="N189" s="45" t="str">
        <f aca="false">IF(AND($C189="Risk",$H189="Open",$G189="Critical"),COUNTIFS($C$6:$C189,"Risk",$H$6:$H189,"Open",$G$6:$G189,"Critical"),"")</f>
        <v/>
      </c>
    </row>
    <row r="190" customFormat="false" ht="15" hidden="false" customHeight="true" outlineLevel="0" collapsed="false">
      <c r="N190" s="45" t="str">
        <f aca="false">IF(AND($C190="Risk",$H190="Open",$G190="Critical"),COUNTIFS($C$6:$C190,"Risk",$H$6:$H190,"Open",$G$6:$G190,"Critical"),"")</f>
        <v/>
      </c>
    </row>
    <row r="191" customFormat="false" ht="15" hidden="false" customHeight="true" outlineLevel="0" collapsed="false">
      <c r="N191" s="45" t="str">
        <f aca="false">IF(AND($C191="Risk",$H191="Open",$G191="Critical"),COUNTIFS($C$6:$C191,"Risk",$H$6:$H191,"Open",$G$6:$G191,"Critical"),"")</f>
        <v/>
      </c>
    </row>
    <row r="192" customFormat="false" ht="15" hidden="false" customHeight="true" outlineLevel="0" collapsed="false">
      <c r="N192" s="45" t="str">
        <f aca="false">IF(AND($C192="Risk",$H192="Open",$G192="Critical"),COUNTIFS($C$6:$C192,"Risk",$H$6:$H192,"Open",$G$6:$G192,"Critical"),"")</f>
        <v/>
      </c>
    </row>
    <row r="193" customFormat="false" ht="15" hidden="false" customHeight="true" outlineLevel="0" collapsed="false">
      <c r="N193" s="45" t="str">
        <f aca="false">IF(AND($C193="Risk",$H193="Open",$G193="Critical"),COUNTIFS($C$6:$C193,"Risk",$H$6:$H193,"Open",$G$6:$G193,"Critical"),"")</f>
        <v/>
      </c>
    </row>
    <row r="194" customFormat="false" ht="15" hidden="false" customHeight="true" outlineLevel="0" collapsed="false">
      <c r="N194" s="45" t="str">
        <f aca="false">IF(AND($C194="Risk",$H194="Open",$G194="Critical"),COUNTIFS($C$6:$C194,"Risk",$H$6:$H194,"Open",$G$6:$G194,"Critical"),"")</f>
        <v/>
      </c>
    </row>
    <row r="195" customFormat="false" ht="15" hidden="false" customHeight="true" outlineLevel="0" collapsed="false">
      <c r="N195" s="45" t="str">
        <f aca="false">IF(AND($C195="Risk",$H195="Open",$G195="Critical"),COUNTIFS($C$6:$C195,"Risk",$H$6:$H195,"Open",$G$6:$G195,"Critical"),"")</f>
        <v/>
      </c>
    </row>
    <row r="196" customFormat="false" ht="15" hidden="false" customHeight="true" outlineLevel="0" collapsed="false">
      <c r="N196" s="45" t="str">
        <f aca="false">IF(AND($C196="Risk",$H196="Open",$G196="Critical"),COUNTIFS($C$6:$C196,"Risk",$H$6:$H196,"Open",$G$6:$G196,"Critical"),"")</f>
        <v/>
      </c>
    </row>
    <row r="197" customFormat="false" ht="15" hidden="false" customHeight="true" outlineLevel="0" collapsed="false">
      <c r="N197" s="45" t="str">
        <f aca="false">IF(AND($C197="Risk",$H197="Open",$G197="Critical"),COUNTIFS($C$6:$C197,"Risk",$H$6:$H197,"Open",$G$6:$G197,"Critical"),"")</f>
        <v/>
      </c>
    </row>
    <row r="198" customFormat="false" ht="15" hidden="false" customHeight="true" outlineLevel="0" collapsed="false">
      <c r="N198" s="45" t="str">
        <f aca="false">IF(AND($C198="Risk",$H198="Open",$G198="Critical"),COUNTIFS($C$6:$C198,"Risk",$H$6:$H198,"Open",$G$6:$G198,"Critical"),"")</f>
        <v/>
      </c>
    </row>
    <row r="199" customFormat="false" ht="15" hidden="false" customHeight="true" outlineLevel="0" collapsed="false">
      <c r="N199" s="45" t="str">
        <f aca="false">IF(AND($C199="Risk",$H199="Open",$G199="Critical"),COUNTIFS($C$6:$C199,"Risk",$H$6:$H199,"Open",$G$6:$G199,"Critical"),"")</f>
        <v/>
      </c>
    </row>
    <row r="200" customFormat="false" ht="15" hidden="false" customHeight="true" outlineLevel="0" collapsed="false">
      <c r="N200" s="45" t="str">
        <f aca="false">IF(AND($C200="Risk",$H200="Open",$G200="Critical"),COUNTIFS($C$6:$C200,"Risk",$H$6:$H200,"Open",$G$6:$G200,"Critical"),"")</f>
        <v/>
      </c>
    </row>
  </sheetData>
  <autoFilter ref="B5:K29"/>
  <mergeCells count="4">
    <mergeCell ref="A1:K1"/>
    <mergeCell ref="A2:K2"/>
    <mergeCell ref="A3:K3"/>
    <mergeCell ref="C4:K4"/>
  </mergeCells>
  <conditionalFormatting sqref="G6:G29">
    <cfRule type="cellIs" priority="2" operator="equal" aboveAverage="0" equalAverage="0" bottom="0" percent="0" rank="0" text="" dxfId="12">
      <formula>"Critical"</formula>
    </cfRule>
    <cfRule type="cellIs" priority="3" operator="equal" aboveAverage="0" equalAverage="0" bottom="0" percent="0" rank="0" text="" dxfId="13">
      <formula>"High"</formula>
    </cfRule>
    <cfRule type="cellIs" priority="4" operator="equal" aboveAverage="0" equalAverage="0" bottom="0" percent="0" rank="0" text="" dxfId="14">
      <formula>"Medium"</formula>
    </cfRule>
    <cfRule type="cellIs" priority="5" operator="equal" aboveAverage="0" equalAverage="0" bottom="0" percent="0" rank="0" text="" dxfId="15">
      <formula>"Low"</formula>
    </cfRule>
  </conditionalFormatting>
  <conditionalFormatting sqref="H6:H29">
    <cfRule type="cellIs" priority="6" operator="equal" aboveAverage="0" equalAverage="0" bottom="0" percent="0" rank="0" text="" dxfId="16">
      <formula>"Open"</formula>
    </cfRule>
    <cfRule type="cellIs" priority="7" operator="equal" aboveAverage="0" equalAverage="0" bottom="0" percent="0" rank="0" text="" dxfId="17">
      <formula>"Closed"</formula>
    </cfRule>
  </conditionalFormatting>
  <dataValidations count="5">
    <dataValidation allowBlank="true" errorStyle="stop" operator="between" showDropDown="false" showErrorMessage="false" showInputMessage="false" sqref="C6:C29" type="list">
      <formula1>"Risk,Assumption,Issue,Dependency"</formula1>
      <formula2>0</formula2>
    </dataValidation>
    <dataValidation allowBlank="true" errorStyle="stop" operator="between" showDropDown="false" showErrorMessage="false" showInputMessage="false" sqref="E6:E29" type="list">
      <formula1>"Low,Medium,High"</formula1>
      <formula2>0</formula2>
    </dataValidation>
    <dataValidation allowBlank="true" errorStyle="stop" operator="between" showDropDown="false" showErrorMessage="false" showInputMessage="false" sqref="F6:F29" type="list">
      <formula1>"Low,Medium,High,Critical"</formula1>
      <formula2>0</formula2>
    </dataValidation>
    <dataValidation allowBlank="true" errorStyle="stop" operator="between" showDropDown="false" showErrorMessage="false" showInputMessage="false" sqref="H6:H29" type="list">
      <formula1>"Open,In Progress,Closed"</formula1>
      <formula2>0</formula2>
    </dataValidation>
    <dataValidation allowBlank="true" errorStyle="stop" operator="between" showDropDown="false" showErrorMessage="false" showInputMessage="false" sqref="L6:L200" type="list">
      <formula1>"Hero Dependency,Death By Governance,Nobody Wants To Decide,Silent Resistance,Builder Culture"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7"/>
    <col collapsed="false" customWidth="true" hidden="false" outlineLevel="0" max="3" min="3" style="1" width="38"/>
    <col collapsed="false" customWidth="true" hidden="false" outlineLevel="0" max="4" min="4" style="1" width="16"/>
    <col collapsed="false" customWidth="true" hidden="false" outlineLevel="0" max="6" min="5" style="1" width="11"/>
    <col collapsed="false" customWidth="true" hidden="false" outlineLevel="0" max="7" min="7" style="1" width="28"/>
    <col collapsed="false" customWidth="true" hidden="false" outlineLevel="0" max="9" min="8" style="1" width="11"/>
    <col collapsed="false" customWidth="true" hidden="false" outlineLevel="0" max="11" min="10" style="1" width="12"/>
    <col collapsed="false" customWidth="true" hidden="false" outlineLevel="0" max="12" min="12" style="1" width="20"/>
    <col collapsed="false" customWidth="true" hidden="true" outlineLevel="0" max="13" min="13" style="1" width="13"/>
  </cols>
  <sheetData>
    <row r="1" customFormat="false" ht="30" hidden="false" customHeight="true" outlineLevel="0" collapsed="false">
      <c r="A1" s="2" t="s">
        <v>173</v>
      </c>
      <c r="B1" s="2"/>
      <c r="C1" s="2"/>
      <c r="D1" s="2"/>
      <c r="E1" s="2"/>
      <c r="F1" s="2"/>
      <c r="G1" s="2"/>
      <c r="H1" s="2"/>
      <c r="I1" s="2"/>
      <c r="J1" s="2"/>
      <c r="K1" s="2"/>
    </row>
    <row r="2" customFormat="false" ht="15" hidden="false" customHeight="true" outlineLevel="0" collapsed="false">
      <c r="A2" s="3" t="s">
        <v>174</v>
      </c>
      <c r="B2" s="3"/>
      <c r="C2" s="3"/>
      <c r="D2" s="3"/>
      <c r="E2" s="3"/>
      <c r="F2" s="3"/>
      <c r="G2" s="3"/>
      <c r="H2" s="3"/>
      <c r="I2" s="3"/>
      <c r="J2" s="3"/>
      <c r="K2" s="3"/>
    </row>
    <row r="3" customFormat="false" ht="3" hidden="false" customHeight="true" outlineLevel="0" collapsed="false">
      <c r="A3" s="4"/>
      <c r="B3" s="4"/>
      <c r="C3" s="4"/>
      <c r="D3" s="4"/>
      <c r="E3" s="4"/>
      <c r="F3" s="4"/>
      <c r="G3" s="4"/>
      <c r="H3" s="4"/>
      <c r="I3" s="4"/>
      <c r="J3" s="4"/>
      <c r="K3" s="4"/>
    </row>
    <row r="4" customFormat="false" ht="15" hidden="false" customHeight="true" outlineLevel="0" collapsed="false">
      <c r="B4" s="5" t="s">
        <v>175</v>
      </c>
      <c r="D4" s="47" t="n">
        <f aca="false">IFERROR(AVERAGEIFS(J6:J200,I6:I200,"Closed"),"—")</f>
        <v>19</v>
      </c>
      <c r="G4" s="5" t="s">
        <v>176</v>
      </c>
      <c r="H4" s="48" t="n">
        <f aca="false">COUNTIF(I6:I200,"Open")</f>
        <v>3</v>
      </c>
      <c r="I4" s="5" t="s">
        <v>177</v>
      </c>
      <c r="J4" s="49" t="n">
        <f aca="false">COUNTIF(K6:K200,"OVERDUE")</f>
        <v>0</v>
      </c>
    </row>
    <row r="5" customFormat="false" ht="21.75" hidden="false" customHeight="true" outlineLevel="0" collapsed="false">
      <c r="B5" s="14" t="s">
        <v>104</v>
      </c>
      <c r="C5" s="14" t="s">
        <v>178</v>
      </c>
      <c r="D5" s="14" t="s">
        <v>179</v>
      </c>
      <c r="E5" s="14" t="s">
        <v>180</v>
      </c>
      <c r="F5" s="14" t="s">
        <v>181</v>
      </c>
      <c r="G5" s="14" t="s">
        <v>182</v>
      </c>
      <c r="H5" s="14" t="s">
        <v>183</v>
      </c>
      <c r="I5" s="14" t="s">
        <v>110</v>
      </c>
      <c r="J5" s="14" t="s">
        <v>184</v>
      </c>
      <c r="K5" s="14" t="s">
        <v>185</v>
      </c>
      <c r="L5" s="40" t="s">
        <v>114</v>
      </c>
      <c r="M5" s="41" t="s">
        <v>115</v>
      </c>
    </row>
    <row r="6" customFormat="false" ht="15" hidden="false" customHeight="true" outlineLevel="0" collapsed="false">
      <c r="B6" s="16" t="s">
        <v>163</v>
      </c>
      <c r="C6" s="42" t="s">
        <v>186</v>
      </c>
      <c r="D6" s="16" t="s">
        <v>160</v>
      </c>
      <c r="E6" s="43" t="s">
        <v>187</v>
      </c>
      <c r="F6" s="43" t="s">
        <v>188</v>
      </c>
      <c r="G6" s="42"/>
      <c r="H6" s="43"/>
      <c r="I6" s="16" t="s">
        <v>121</v>
      </c>
      <c r="J6" s="18" t="str">
        <f aca="false">IF(AND(I6="Closed",H6&lt;&gt;"",E6&lt;&gt;""),H6-E6,"")</f>
        <v/>
      </c>
      <c r="K6" s="18" t="str">
        <f aca="true">IF(I6="Closed","—",IF(F6="","",IF(TODAY()&gt;F6,"OVERDUE",IF(TODAY()&gt;=F6-5,"DUE SOON","ON TRACK"))))</f>
        <v>DUE SOON</v>
      </c>
      <c r="L6" s="44" t="s">
        <v>145</v>
      </c>
      <c r="M6" s="45" t="n">
        <f aca="false">IF($I6="Open",COUNTIF($I$6:$I6,"Open"),"")</f>
        <v>1</v>
      </c>
    </row>
    <row r="7" customFormat="false" ht="15" hidden="false" customHeight="true" outlineLevel="0" collapsed="false">
      <c r="B7" s="16" t="s">
        <v>168</v>
      </c>
      <c r="C7" s="42" t="s">
        <v>189</v>
      </c>
      <c r="D7" s="16" t="s">
        <v>142</v>
      </c>
      <c r="E7" s="43" t="s">
        <v>190</v>
      </c>
      <c r="F7" s="43" t="s">
        <v>191</v>
      </c>
      <c r="G7" s="42"/>
      <c r="H7" s="43"/>
      <c r="I7" s="16" t="s">
        <v>121</v>
      </c>
      <c r="J7" s="18" t="str">
        <f aca="false">IF(AND(I7="Closed",H7&lt;&gt;"",E7&lt;&gt;""),H7-E7,"")</f>
        <v/>
      </c>
      <c r="K7" s="18" t="str">
        <f aca="true">IF(I7="Closed","—",IF(F7="","",IF(TODAY()&gt;F7,"OVERDUE",IF(TODAY()&gt;=F7-5,"DUE SOON","ON TRACK"))))</f>
        <v>DUE SOON</v>
      </c>
      <c r="L7" s="44" t="s">
        <v>145</v>
      </c>
      <c r="M7" s="45" t="n">
        <f aca="false">IF($I7="Open",COUNTIF($I$6:$I7,"Open"),"")</f>
        <v>2</v>
      </c>
    </row>
    <row r="8" customFormat="false" ht="15" hidden="false" customHeight="true" outlineLevel="0" collapsed="false">
      <c r="B8" s="16" t="s">
        <v>192</v>
      </c>
      <c r="C8" s="42" t="s">
        <v>193</v>
      </c>
      <c r="D8" s="16" t="s">
        <v>194</v>
      </c>
      <c r="E8" s="43" t="s">
        <v>195</v>
      </c>
      <c r="F8" s="43" t="s">
        <v>172</v>
      </c>
      <c r="G8" s="42"/>
      <c r="H8" s="43"/>
      <c r="I8" s="16" t="s">
        <v>121</v>
      </c>
      <c r="J8" s="18" t="str">
        <f aca="false">IF(AND(I8="Closed",H8&lt;&gt;"",E8&lt;&gt;""),H8-E8,"")</f>
        <v/>
      </c>
      <c r="K8" s="18" t="str">
        <f aca="true">IF(I8="Closed","—",IF(F8="","",IF(TODAY()&gt;F8,"OVERDUE",IF(TODAY()&gt;=F8-5,"DUE SOON","ON TRACK"))))</f>
        <v>ON TRACK</v>
      </c>
      <c r="L8" s="44" t="s">
        <v>145</v>
      </c>
      <c r="M8" s="45" t="n">
        <f aca="false">IF($I8="Open",COUNTIF($I$6:$I8,"Open"),"")</f>
        <v>3</v>
      </c>
    </row>
    <row r="9" customFormat="false" ht="21.75" hidden="false" customHeight="true" outlineLevel="0" collapsed="false">
      <c r="B9" s="16" t="s">
        <v>196</v>
      </c>
      <c r="C9" s="42" t="s">
        <v>197</v>
      </c>
      <c r="D9" s="16" t="s">
        <v>128</v>
      </c>
      <c r="E9" s="43" t="s">
        <v>198</v>
      </c>
      <c r="F9" s="43" t="s">
        <v>195</v>
      </c>
      <c r="G9" s="42" t="s">
        <v>199</v>
      </c>
      <c r="H9" s="43" t="s">
        <v>200</v>
      </c>
      <c r="I9" s="16" t="s">
        <v>201</v>
      </c>
      <c r="J9" s="18" t="n">
        <f aca="false">IF(AND(I9="Closed",H9&lt;&gt;"",E9&lt;&gt;""),H9-E9,"")</f>
        <v>19</v>
      </c>
      <c r="K9" s="18" t="str">
        <f aca="true">IF(I9="Closed","—",IF(F9="","",IF(TODAY()&gt;F9,"OVERDUE",IF(TODAY()&gt;=F9-5,"DUE SOON","ON TRACK"))))</f>
        <v>—</v>
      </c>
      <c r="L9" s="44" t="s">
        <v>131</v>
      </c>
      <c r="M9" s="45" t="str">
        <f aca="false">IF($I9="Open",COUNTIF($I$6:$I9,"Open"),"")</f>
        <v/>
      </c>
    </row>
    <row r="10" customFormat="false" ht="15" hidden="false" customHeight="true" outlineLevel="0" collapsed="false">
      <c r="B10" s="16" t="s">
        <v>202</v>
      </c>
      <c r="C10" s="42" t="s">
        <v>203</v>
      </c>
      <c r="D10" s="16" t="s">
        <v>149</v>
      </c>
      <c r="E10" s="43" t="s">
        <v>204</v>
      </c>
      <c r="F10" s="43" t="s">
        <v>190</v>
      </c>
      <c r="G10" s="42" t="s">
        <v>205</v>
      </c>
      <c r="H10" s="43" t="s">
        <v>206</v>
      </c>
      <c r="I10" s="16" t="s">
        <v>201</v>
      </c>
      <c r="J10" s="18" t="n">
        <f aca="false">IF(AND(I10="Closed",H10&lt;&gt;"",E10&lt;&gt;""),H10-E10,"")</f>
        <v>19</v>
      </c>
      <c r="K10" s="18" t="str">
        <f aca="true">IF(I10="Closed","—",IF(F10="","",IF(TODAY()&gt;F10,"OVERDUE",IF(TODAY()&gt;=F10-5,"DUE SOON","ON TRACK"))))</f>
        <v>—</v>
      </c>
      <c r="L10" s="44" t="s">
        <v>138</v>
      </c>
      <c r="M10" s="45" t="str">
        <f aca="false">IF($I10="Open",COUNTIF($I$6:$I10,"Open"),"")</f>
        <v/>
      </c>
    </row>
    <row r="11" customFormat="false" ht="15" hidden="false" customHeight="true" outlineLevel="0" collapsed="false">
      <c r="B11" s="46"/>
      <c r="C11" s="46"/>
      <c r="D11" s="46"/>
      <c r="E11" s="50"/>
      <c r="F11" s="50"/>
      <c r="G11" s="46"/>
      <c r="H11" s="50"/>
      <c r="I11" s="46"/>
      <c r="J11" s="18" t="str">
        <f aca="false">IF(AND(I11="Closed",H11&lt;&gt;"",E11&lt;&gt;""),H11-E11,"")</f>
        <v/>
      </c>
      <c r="K11" s="18" t="str">
        <f aca="true">IF(I11="Closed","—",IF(F11="","",IF(TODAY()&gt;F11,"OVERDUE",IF(TODAY()&gt;=F11-5,"DUE SOON","ON TRACK"))))</f>
        <v/>
      </c>
      <c r="M11" s="45" t="str">
        <f aca="false">IF($I11="Open",COUNTIF($I$6:$I11,"Open"),"")</f>
        <v/>
      </c>
    </row>
    <row r="12" customFormat="false" ht="15" hidden="false" customHeight="true" outlineLevel="0" collapsed="false">
      <c r="B12" s="46"/>
      <c r="C12" s="46"/>
      <c r="D12" s="46"/>
      <c r="E12" s="50"/>
      <c r="F12" s="50"/>
      <c r="G12" s="46"/>
      <c r="H12" s="50"/>
      <c r="I12" s="46"/>
      <c r="J12" s="18" t="str">
        <f aca="false">IF(AND(I12="Closed",H12&lt;&gt;"",E12&lt;&gt;""),H12-E12,"")</f>
        <v/>
      </c>
      <c r="K12" s="18" t="str">
        <f aca="true">IF(I12="Closed","—",IF(F12="","",IF(TODAY()&gt;F12,"OVERDUE",IF(TODAY()&gt;=F12-5,"DUE SOON","ON TRACK"))))</f>
        <v/>
      </c>
      <c r="M12" s="45" t="str">
        <f aca="false">IF($I12="Open",COUNTIF($I$6:$I12,"Open"),"")</f>
        <v/>
      </c>
    </row>
    <row r="13" customFormat="false" ht="15" hidden="false" customHeight="true" outlineLevel="0" collapsed="false">
      <c r="B13" s="46"/>
      <c r="C13" s="46"/>
      <c r="D13" s="46"/>
      <c r="E13" s="50"/>
      <c r="F13" s="50"/>
      <c r="G13" s="46"/>
      <c r="H13" s="50"/>
      <c r="I13" s="46"/>
      <c r="J13" s="18" t="str">
        <f aca="false">IF(AND(I13="Closed",H13&lt;&gt;"",E13&lt;&gt;""),H13-E13,"")</f>
        <v/>
      </c>
      <c r="K13" s="18" t="str">
        <f aca="true">IF(I13="Closed","—",IF(F13="","",IF(TODAY()&gt;F13,"OVERDUE",IF(TODAY()&gt;=F13-5,"DUE SOON","ON TRACK"))))</f>
        <v/>
      </c>
      <c r="M13" s="45" t="str">
        <f aca="false">IF($I13="Open",COUNTIF($I$6:$I13,"Open"),"")</f>
        <v/>
      </c>
    </row>
    <row r="14" customFormat="false" ht="15" hidden="false" customHeight="true" outlineLevel="0" collapsed="false">
      <c r="B14" s="46"/>
      <c r="C14" s="46"/>
      <c r="D14" s="46"/>
      <c r="E14" s="50"/>
      <c r="F14" s="50"/>
      <c r="G14" s="46"/>
      <c r="H14" s="50"/>
      <c r="I14" s="46"/>
      <c r="J14" s="18" t="str">
        <f aca="false">IF(AND(I14="Closed",H14&lt;&gt;"",E14&lt;&gt;""),H14-E14,"")</f>
        <v/>
      </c>
      <c r="K14" s="18" t="str">
        <f aca="true">IF(I14="Closed","—",IF(F14="","",IF(TODAY()&gt;F14,"OVERDUE",IF(TODAY()&gt;=F14-5,"DUE SOON","ON TRACK"))))</f>
        <v/>
      </c>
      <c r="M14" s="45" t="str">
        <f aca="false">IF($I14="Open",COUNTIF($I$6:$I14,"Open"),"")</f>
        <v/>
      </c>
    </row>
    <row r="15" customFormat="false" ht="15" hidden="false" customHeight="true" outlineLevel="0" collapsed="false">
      <c r="B15" s="46"/>
      <c r="C15" s="46"/>
      <c r="D15" s="46"/>
      <c r="E15" s="50"/>
      <c r="F15" s="50"/>
      <c r="G15" s="46"/>
      <c r="H15" s="50"/>
      <c r="I15" s="46"/>
      <c r="J15" s="18" t="str">
        <f aca="false">IF(AND(I15="Closed",H15&lt;&gt;"",E15&lt;&gt;""),H15-E15,"")</f>
        <v/>
      </c>
      <c r="K15" s="18" t="str">
        <f aca="true">IF(I15="Closed","—",IF(F15="","",IF(TODAY()&gt;F15,"OVERDUE",IF(TODAY()&gt;=F15-5,"DUE SOON","ON TRACK"))))</f>
        <v/>
      </c>
      <c r="M15" s="45" t="str">
        <f aca="false">IF($I15="Open",COUNTIF($I$6:$I15,"Open"),"")</f>
        <v/>
      </c>
    </row>
    <row r="16" customFormat="false" ht="15" hidden="false" customHeight="true" outlineLevel="0" collapsed="false">
      <c r="B16" s="46"/>
      <c r="C16" s="46"/>
      <c r="D16" s="46"/>
      <c r="E16" s="50"/>
      <c r="F16" s="50"/>
      <c r="G16" s="46"/>
      <c r="H16" s="50"/>
      <c r="I16" s="46"/>
      <c r="J16" s="18" t="str">
        <f aca="false">IF(AND(I16="Closed",H16&lt;&gt;"",E16&lt;&gt;""),H16-E16,"")</f>
        <v/>
      </c>
      <c r="K16" s="18" t="str">
        <f aca="true">IF(I16="Closed","—",IF(F16="","",IF(TODAY()&gt;F16,"OVERDUE",IF(TODAY()&gt;=F16-5,"DUE SOON","ON TRACK"))))</f>
        <v/>
      </c>
      <c r="M16" s="45" t="str">
        <f aca="false">IF($I16="Open",COUNTIF($I$6:$I16,"Open"),"")</f>
        <v/>
      </c>
    </row>
    <row r="17" customFormat="false" ht="15" hidden="false" customHeight="true" outlineLevel="0" collapsed="false">
      <c r="B17" s="46"/>
      <c r="C17" s="46"/>
      <c r="D17" s="46"/>
      <c r="E17" s="50"/>
      <c r="F17" s="50"/>
      <c r="G17" s="46"/>
      <c r="H17" s="50"/>
      <c r="I17" s="46"/>
      <c r="J17" s="18" t="str">
        <f aca="false">IF(AND(I17="Closed",H17&lt;&gt;"",E17&lt;&gt;""),H17-E17,"")</f>
        <v/>
      </c>
      <c r="K17" s="18" t="str">
        <f aca="true">IF(I17="Closed","—",IF(F17="","",IF(TODAY()&gt;F17,"OVERDUE",IF(TODAY()&gt;=F17-5,"DUE SOON","ON TRACK"))))</f>
        <v/>
      </c>
      <c r="M17" s="45" t="str">
        <f aca="false">IF($I17="Open",COUNTIF($I$6:$I17,"Open"),"")</f>
        <v/>
      </c>
    </row>
    <row r="18" customFormat="false" ht="15" hidden="false" customHeight="true" outlineLevel="0" collapsed="false">
      <c r="B18" s="46"/>
      <c r="C18" s="46"/>
      <c r="D18" s="46"/>
      <c r="E18" s="50"/>
      <c r="F18" s="50"/>
      <c r="G18" s="46"/>
      <c r="H18" s="50"/>
      <c r="I18" s="46"/>
      <c r="J18" s="18" t="str">
        <f aca="false">IF(AND(I18="Closed",H18&lt;&gt;"",E18&lt;&gt;""),H18-E18,"")</f>
        <v/>
      </c>
      <c r="K18" s="18" t="str">
        <f aca="true">IF(I18="Closed","—",IF(F18="","",IF(TODAY()&gt;F18,"OVERDUE",IF(TODAY()&gt;=F18-5,"DUE SOON","ON TRACK"))))</f>
        <v/>
      </c>
      <c r="M18" s="45" t="str">
        <f aca="false">IF($I18="Open",COUNTIF($I$6:$I18,"Open"),"")</f>
        <v/>
      </c>
    </row>
    <row r="19" customFormat="false" ht="15" hidden="false" customHeight="true" outlineLevel="0" collapsed="false">
      <c r="B19" s="46"/>
      <c r="C19" s="46"/>
      <c r="D19" s="46"/>
      <c r="E19" s="50"/>
      <c r="F19" s="50"/>
      <c r="G19" s="46"/>
      <c r="H19" s="50"/>
      <c r="I19" s="46"/>
      <c r="J19" s="18" t="str">
        <f aca="false">IF(AND(I19="Closed",H19&lt;&gt;"",E19&lt;&gt;""),H19-E19,"")</f>
        <v/>
      </c>
      <c r="K19" s="18" t="str">
        <f aca="true">IF(I19="Closed","—",IF(F19="","",IF(TODAY()&gt;F19,"OVERDUE",IF(TODAY()&gt;=F19-5,"DUE SOON","ON TRACK"))))</f>
        <v/>
      </c>
      <c r="M19" s="45" t="str">
        <f aca="false">IF($I19="Open",COUNTIF($I$6:$I19,"Open"),"")</f>
        <v/>
      </c>
    </row>
    <row r="20" customFormat="false" ht="15" hidden="false" customHeight="true" outlineLevel="0" collapsed="false">
      <c r="B20" s="46"/>
      <c r="C20" s="46"/>
      <c r="D20" s="46"/>
      <c r="E20" s="50"/>
      <c r="F20" s="50"/>
      <c r="G20" s="46"/>
      <c r="H20" s="50"/>
      <c r="I20" s="46"/>
      <c r="J20" s="18" t="str">
        <f aca="false">IF(AND(I20="Closed",H20&lt;&gt;"",E20&lt;&gt;""),H20-E20,"")</f>
        <v/>
      </c>
      <c r="K20" s="18" t="str">
        <f aca="true">IF(I20="Closed","—",IF(F20="","",IF(TODAY()&gt;F20,"OVERDUE",IF(TODAY()&gt;=F20-5,"DUE SOON","ON TRACK"))))</f>
        <v/>
      </c>
      <c r="M20" s="45" t="str">
        <f aca="false">IF($I20="Open",COUNTIF($I$6:$I20,"Open"),"")</f>
        <v/>
      </c>
    </row>
    <row r="21" customFormat="false" ht="15" hidden="false" customHeight="true" outlineLevel="0" collapsed="false">
      <c r="B21" s="46"/>
      <c r="C21" s="46"/>
      <c r="D21" s="46"/>
      <c r="E21" s="50"/>
      <c r="F21" s="50"/>
      <c r="G21" s="46"/>
      <c r="H21" s="50"/>
      <c r="I21" s="46"/>
      <c r="J21" s="18" t="str">
        <f aca="false">IF(AND(I21="Closed",H21&lt;&gt;"",E21&lt;&gt;""),H21-E21,"")</f>
        <v/>
      </c>
      <c r="K21" s="18" t="str">
        <f aca="true">IF(I21="Closed","—",IF(F21="","",IF(TODAY()&gt;F21,"OVERDUE",IF(TODAY()&gt;=F21-5,"DUE SOON","ON TRACK"))))</f>
        <v/>
      </c>
      <c r="M21" s="45" t="str">
        <f aca="false">IF($I21="Open",COUNTIF($I$6:$I21,"Open"),"")</f>
        <v/>
      </c>
    </row>
    <row r="22" customFormat="false" ht="15" hidden="false" customHeight="true" outlineLevel="0" collapsed="false">
      <c r="B22" s="46"/>
      <c r="C22" s="46"/>
      <c r="D22" s="46"/>
      <c r="E22" s="50"/>
      <c r="F22" s="50"/>
      <c r="G22" s="46"/>
      <c r="H22" s="50"/>
      <c r="I22" s="46"/>
      <c r="J22" s="18" t="str">
        <f aca="false">IF(AND(I22="Closed",H22&lt;&gt;"",E22&lt;&gt;""),H22-E22,"")</f>
        <v/>
      </c>
      <c r="K22" s="18" t="str">
        <f aca="true">IF(I22="Closed","—",IF(F22="","",IF(TODAY()&gt;F22,"OVERDUE",IF(TODAY()&gt;=F22-5,"DUE SOON","ON TRACK"))))</f>
        <v/>
      </c>
      <c r="M22" s="45" t="str">
        <f aca="false">IF($I22="Open",COUNTIF($I$6:$I22,"Open"),"")</f>
        <v/>
      </c>
    </row>
    <row r="23" customFormat="false" ht="15" hidden="false" customHeight="true" outlineLevel="0" collapsed="false">
      <c r="B23" s="46"/>
      <c r="C23" s="46"/>
      <c r="D23" s="46"/>
      <c r="E23" s="50"/>
      <c r="F23" s="50"/>
      <c r="G23" s="46"/>
      <c r="H23" s="50"/>
      <c r="I23" s="46"/>
      <c r="J23" s="18" t="str">
        <f aca="false">IF(AND(I23="Closed",H23&lt;&gt;"",E23&lt;&gt;""),H23-E23,"")</f>
        <v/>
      </c>
      <c r="K23" s="18" t="str">
        <f aca="true">IF(I23="Closed","—",IF(F23="","",IF(TODAY()&gt;F23,"OVERDUE",IF(TODAY()&gt;=F23-5,"DUE SOON","ON TRACK"))))</f>
        <v/>
      </c>
      <c r="M23" s="45" t="str">
        <f aca="false">IF($I23="Open",COUNTIF($I$6:$I23,"Open"),"")</f>
        <v/>
      </c>
    </row>
    <row r="24" customFormat="false" ht="15" hidden="false" customHeight="true" outlineLevel="0" collapsed="false">
      <c r="B24" s="46"/>
      <c r="C24" s="46"/>
      <c r="D24" s="46"/>
      <c r="E24" s="50"/>
      <c r="F24" s="50"/>
      <c r="G24" s="46"/>
      <c r="H24" s="50"/>
      <c r="I24" s="46"/>
      <c r="J24" s="18" t="str">
        <f aca="false">IF(AND(I24="Closed",H24&lt;&gt;"",E24&lt;&gt;""),H24-E24,"")</f>
        <v/>
      </c>
      <c r="K24" s="18" t="str">
        <f aca="true">IF(I24="Closed","—",IF(F24="","",IF(TODAY()&gt;F24,"OVERDUE",IF(TODAY()&gt;=F24-5,"DUE SOON","ON TRACK"))))</f>
        <v/>
      </c>
      <c r="M24" s="45" t="str">
        <f aca="false">IF($I24="Open",COUNTIF($I$6:$I24,"Open"),"")</f>
        <v/>
      </c>
    </row>
    <row r="25" customFormat="false" ht="15" hidden="false" customHeight="true" outlineLevel="0" collapsed="false">
      <c r="B25" s="46"/>
      <c r="C25" s="46"/>
      <c r="D25" s="46"/>
      <c r="E25" s="50"/>
      <c r="F25" s="50"/>
      <c r="G25" s="46"/>
      <c r="H25" s="50"/>
      <c r="I25" s="46"/>
      <c r="J25" s="18" t="str">
        <f aca="false">IF(AND(I25="Closed",H25&lt;&gt;"",E25&lt;&gt;""),H25-E25,"")</f>
        <v/>
      </c>
      <c r="K25" s="18" t="str">
        <f aca="true">IF(I25="Closed","—",IF(F25="","",IF(TODAY()&gt;F25,"OVERDUE",IF(TODAY()&gt;=F25-5,"DUE SOON","ON TRACK"))))</f>
        <v/>
      </c>
      <c r="M25" s="45" t="str">
        <f aca="false">IF($I25="Open",COUNTIF($I$6:$I25,"Open"),"")</f>
        <v/>
      </c>
    </row>
    <row r="26" customFormat="false" ht="15" hidden="false" customHeight="true" outlineLevel="0" collapsed="false">
      <c r="M26" s="45" t="str">
        <f aca="false">IF($I26="Open",COUNTIF($I$6:$I26,"Open"),"")</f>
        <v/>
      </c>
    </row>
    <row r="27" customFormat="false" ht="15" hidden="false" customHeight="true" outlineLevel="0" collapsed="false">
      <c r="M27" s="45" t="str">
        <f aca="false">IF($I27="Open",COUNTIF($I$6:$I27,"Open"),"")</f>
        <v/>
      </c>
    </row>
    <row r="28" customFormat="false" ht="15" hidden="false" customHeight="true" outlineLevel="0" collapsed="false">
      <c r="M28" s="45" t="str">
        <f aca="false">IF($I28="Open",COUNTIF($I$6:$I28,"Open"),"")</f>
        <v/>
      </c>
    </row>
    <row r="29" customFormat="false" ht="15" hidden="false" customHeight="true" outlineLevel="0" collapsed="false">
      <c r="M29" s="45" t="str">
        <f aca="false">IF($I29="Open",COUNTIF($I$6:$I29,"Open"),"")</f>
        <v/>
      </c>
    </row>
    <row r="30" customFormat="false" ht="15" hidden="false" customHeight="true" outlineLevel="0" collapsed="false">
      <c r="M30" s="45" t="str">
        <f aca="false">IF($I30="Open",COUNTIF($I$6:$I30,"Open"),"")</f>
        <v/>
      </c>
    </row>
    <row r="31" customFormat="false" ht="15" hidden="false" customHeight="true" outlineLevel="0" collapsed="false">
      <c r="M31" s="45" t="str">
        <f aca="false">IF($I31="Open",COUNTIF($I$6:$I31,"Open"),"")</f>
        <v/>
      </c>
    </row>
    <row r="32" customFormat="false" ht="15" hidden="false" customHeight="true" outlineLevel="0" collapsed="false">
      <c r="M32" s="45" t="str">
        <f aca="false">IF($I32="Open",COUNTIF($I$6:$I32,"Open"),"")</f>
        <v/>
      </c>
    </row>
    <row r="33" customFormat="false" ht="15" hidden="false" customHeight="true" outlineLevel="0" collapsed="false">
      <c r="M33" s="45" t="str">
        <f aca="false">IF($I33="Open",COUNTIF($I$6:$I33,"Open"),"")</f>
        <v/>
      </c>
    </row>
    <row r="34" customFormat="false" ht="15" hidden="false" customHeight="true" outlineLevel="0" collapsed="false">
      <c r="M34" s="45" t="str">
        <f aca="false">IF($I34="Open",COUNTIF($I$6:$I34,"Open"),"")</f>
        <v/>
      </c>
    </row>
    <row r="35" customFormat="false" ht="15" hidden="false" customHeight="true" outlineLevel="0" collapsed="false">
      <c r="M35" s="45" t="str">
        <f aca="false">IF($I35="Open",COUNTIF($I$6:$I35,"Open"),"")</f>
        <v/>
      </c>
    </row>
    <row r="36" customFormat="false" ht="15" hidden="false" customHeight="true" outlineLevel="0" collapsed="false">
      <c r="M36" s="45" t="str">
        <f aca="false">IF($I36="Open",COUNTIF($I$6:$I36,"Open"),"")</f>
        <v/>
      </c>
    </row>
    <row r="37" customFormat="false" ht="15" hidden="false" customHeight="true" outlineLevel="0" collapsed="false">
      <c r="M37" s="45" t="str">
        <f aca="false">IF($I37="Open",COUNTIF($I$6:$I37,"Open"),"")</f>
        <v/>
      </c>
    </row>
    <row r="38" customFormat="false" ht="15" hidden="false" customHeight="true" outlineLevel="0" collapsed="false">
      <c r="M38" s="45" t="str">
        <f aca="false">IF($I38="Open",COUNTIF($I$6:$I38,"Open"),"")</f>
        <v/>
      </c>
    </row>
    <row r="39" customFormat="false" ht="15" hidden="false" customHeight="true" outlineLevel="0" collapsed="false">
      <c r="M39" s="45" t="str">
        <f aca="false">IF($I39="Open",COUNTIF($I$6:$I39,"Open"),"")</f>
        <v/>
      </c>
    </row>
    <row r="40" customFormat="false" ht="15" hidden="false" customHeight="true" outlineLevel="0" collapsed="false">
      <c r="M40" s="45" t="str">
        <f aca="false">IF($I40="Open",COUNTIF($I$6:$I40,"Open"),"")</f>
        <v/>
      </c>
    </row>
    <row r="41" customFormat="false" ht="15" hidden="false" customHeight="true" outlineLevel="0" collapsed="false">
      <c r="M41" s="45" t="str">
        <f aca="false">IF($I41="Open",COUNTIF($I$6:$I41,"Open"),"")</f>
        <v/>
      </c>
    </row>
    <row r="42" customFormat="false" ht="15" hidden="false" customHeight="true" outlineLevel="0" collapsed="false">
      <c r="M42" s="45" t="str">
        <f aca="false">IF($I42="Open",COUNTIF($I$6:$I42,"Open"),"")</f>
        <v/>
      </c>
    </row>
    <row r="43" customFormat="false" ht="15" hidden="false" customHeight="true" outlineLevel="0" collapsed="false">
      <c r="M43" s="45" t="str">
        <f aca="false">IF($I43="Open",COUNTIF($I$6:$I43,"Open"),"")</f>
        <v/>
      </c>
    </row>
    <row r="44" customFormat="false" ht="15" hidden="false" customHeight="true" outlineLevel="0" collapsed="false">
      <c r="M44" s="45" t="str">
        <f aca="false">IF($I44="Open",COUNTIF($I$6:$I44,"Open"),"")</f>
        <v/>
      </c>
    </row>
    <row r="45" customFormat="false" ht="15" hidden="false" customHeight="true" outlineLevel="0" collapsed="false">
      <c r="M45" s="45" t="str">
        <f aca="false">IF($I45="Open",COUNTIF($I$6:$I45,"Open"),"")</f>
        <v/>
      </c>
    </row>
    <row r="46" customFormat="false" ht="15" hidden="false" customHeight="true" outlineLevel="0" collapsed="false">
      <c r="M46" s="45" t="str">
        <f aca="false">IF($I46="Open",COUNTIF($I$6:$I46,"Open"),"")</f>
        <v/>
      </c>
    </row>
    <row r="47" customFormat="false" ht="15" hidden="false" customHeight="true" outlineLevel="0" collapsed="false">
      <c r="M47" s="45" t="str">
        <f aca="false">IF($I47="Open",COUNTIF($I$6:$I47,"Open"),"")</f>
        <v/>
      </c>
    </row>
    <row r="48" customFormat="false" ht="15" hidden="false" customHeight="true" outlineLevel="0" collapsed="false">
      <c r="M48" s="45" t="str">
        <f aca="false">IF($I48="Open",COUNTIF($I$6:$I48,"Open"),"")</f>
        <v/>
      </c>
    </row>
    <row r="49" customFormat="false" ht="15" hidden="false" customHeight="true" outlineLevel="0" collapsed="false">
      <c r="M49" s="45" t="str">
        <f aca="false">IF($I49="Open",COUNTIF($I$6:$I49,"Open"),"")</f>
        <v/>
      </c>
    </row>
    <row r="50" customFormat="false" ht="15" hidden="false" customHeight="true" outlineLevel="0" collapsed="false">
      <c r="M50" s="45" t="str">
        <f aca="false">IF($I50="Open",COUNTIF($I$6:$I50,"Open"),"")</f>
        <v/>
      </c>
    </row>
    <row r="51" customFormat="false" ht="15" hidden="false" customHeight="true" outlineLevel="0" collapsed="false">
      <c r="M51" s="45" t="str">
        <f aca="false">IF($I51="Open",COUNTIF($I$6:$I51,"Open"),"")</f>
        <v/>
      </c>
    </row>
    <row r="52" customFormat="false" ht="15" hidden="false" customHeight="true" outlineLevel="0" collapsed="false">
      <c r="M52" s="45" t="str">
        <f aca="false">IF($I52="Open",COUNTIF($I$6:$I52,"Open"),"")</f>
        <v/>
      </c>
    </row>
    <row r="53" customFormat="false" ht="15" hidden="false" customHeight="true" outlineLevel="0" collapsed="false">
      <c r="M53" s="45" t="str">
        <f aca="false">IF($I53="Open",COUNTIF($I$6:$I53,"Open"),"")</f>
        <v/>
      </c>
    </row>
    <row r="54" customFormat="false" ht="15" hidden="false" customHeight="true" outlineLevel="0" collapsed="false">
      <c r="M54" s="45" t="str">
        <f aca="false">IF($I54="Open",COUNTIF($I$6:$I54,"Open"),"")</f>
        <v/>
      </c>
    </row>
    <row r="55" customFormat="false" ht="15" hidden="false" customHeight="true" outlineLevel="0" collapsed="false">
      <c r="M55" s="45" t="str">
        <f aca="false">IF($I55="Open",COUNTIF($I$6:$I55,"Open"),"")</f>
        <v/>
      </c>
    </row>
    <row r="56" customFormat="false" ht="15" hidden="false" customHeight="true" outlineLevel="0" collapsed="false">
      <c r="M56" s="45" t="str">
        <f aca="false">IF($I56="Open",COUNTIF($I$6:$I56,"Open"),"")</f>
        <v/>
      </c>
    </row>
    <row r="57" customFormat="false" ht="15" hidden="false" customHeight="true" outlineLevel="0" collapsed="false">
      <c r="M57" s="45" t="str">
        <f aca="false">IF($I57="Open",COUNTIF($I$6:$I57,"Open"),"")</f>
        <v/>
      </c>
    </row>
    <row r="58" customFormat="false" ht="15" hidden="false" customHeight="true" outlineLevel="0" collapsed="false">
      <c r="M58" s="45" t="str">
        <f aca="false">IF($I58="Open",COUNTIF($I$6:$I58,"Open"),"")</f>
        <v/>
      </c>
    </row>
    <row r="59" customFormat="false" ht="15" hidden="false" customHeight="true" outlineLevel="0" collapsed="false">
      <c r="M59" s="45" t="str">
        <f aca="false">IF($I59="Open",COUNTIF($I$6:$I59,"Open"),"")</f>
        <v/>
      </c>
    </row>
    <row r="60" customFormat="false" ht="15" hidden="false" customHeight="true" outlineLevel="0" collapsed="false">
      <c r="M60" s="45" t="str">
        <f aca="false">IF($I60="Open",COUNTIF($I$6:$I60,"Open"),"")</f>
        <v/>
      </c>
    </row>
    <row r="61" customFormat="false" ht="15" hidden="false" customHeight="true" outlineLevel="0" collapsed="false">
      <c r="M61" s="45" t="str">
        <f aca="false">IF($I61="Open",COUNTIF($I$6:$I61,"Open"),"")</f>
        <v/>
      </c>
    </row>
    <row r="62" customFormat="false" ht="15" hidden="false" customHeight="true" outlineLevel="0" collapsed="false">
      <c r="M62" s="45" t="str">
        <f aca="false">IF($I62="Open",COUNTIF($I$6:$I62,"Open"),"")</f>
        <v/>
      </c>
    </row>
    <row r="63" customFormat="false" ht="15" hidden="false" customHeight="true" outlineLevel="0" collapsed="false">
      <c r="M63" s="45" t="str">
        <f aca="false">IF($I63="Open",COUNTIF($I$6:$I63,"Open"),"")</f>
        <v/>
      </c>
    </row>
    <row r="64" customFormat="false" ht="15" hidden="false" customHeight="true" outlineLevel="0" collapsed="false">
      <c r="M64" s="45" t="str">
        <f aca="false">IF($I64="Open",COUNTIF($I$6:$I64,"Open"),"")</f>
        <v/>
      </c>
    </row>
    <row r="65" customFormat="false" ht="15" hidden="false" customHeight="true" outlineLevel="0" collapsed="false">
      <c r="M65" s="45" t="str">
        <f aca="false">IF($I65="Open",COUNTIF($I$6:$I65,"Open"),"")</f>
        <v/>
      </c>
    </row>
    <row r="66" customFormat="false" ht="15" hidden="false" customHeight="true" outlineLevel="0" collapsed="false">
      <c r="M66" s="45" t="str">
        <f aca="false">IF($I66="Open",COUNTIF($I$6:$I66,"Open"),"")</f>
        <v/>
      </c>
    </row>
    <row r="67" customFormat="false" ht="15" hidden="false" customHeight="true" outlineLevel="0" collapsed="false">
      <c r="M67" s="45" t="str">
        <f aca="false">IF($I67="Open",COUNTIF($I$6:$I67,"Open"),"")</f>
        <v/>
      </c>
    </row>
    <row r="68" customFormat="false" ht="15" hidden="false" customHeight="true" outlineLevel="0" collapsed="false">
      <c r="M68" s="45" t="str">
        <f aca="false">IF($I68="Open",COUNTIF($I$6:$I68,"Open"),"")</f>
        <v/>
      </c>
    </row>
    <row r="69" customFormat="false" ht="15" hidden="false" customHeight="true" outlineLevel="0" collapsed="false">
      <c r="M69" s="45" t="str">
        <f aca="false">IF($I69="Open",COUNTIF($I$6:$I69,"Open"),"")</f>
        <v/>
      </c>
    </row>
    <row r="70" customFormat="false" ht="15" hidden="false" customHeight="true" outlineLevel="0" collapsed="false">
      <c r="M70" s="45" t="str">
        <f aca="false">IF($I70="Open",COUNTIF($I$6:$I70,"Open"),"")</f>
        <v/>
      </c>
    </row>
    <row r="71" customFormat="false" ht="15" hidden="false" customHeight="true" outlineLevel="0" collapsed="false">
      <c r="M71" s="45" t="str">
        <f aca="false">IF($I71="Open",COUNTIF($I$6:$I71,"Open"),"")</f>
        <v/>
      </c>
    </row>
    <row r="72" customFormat="false" ht="15" hidden="false" customHeight="true" outlineLevel="0" collapsed="false">
      <c r="M72" s="45" t="str">
        <f aca="false">IF($I72="Open",COUNTIF($I$6:$I72,"Open"),"")</f>
        <v/>
      </c>
    </row>
    <row r="73" customFormat="false" ht="15" hidden="false" customHeight="true" outlineLevel="0" collapsed="false">
      <c r="M73" s="45" t="str">
        <f aca="false">IF($I73="Open",COUNTIF($I$6:$I73,"Open"),"")</f>
        <v/>
      </c>
    </row>
    <row r="74" customFormat="false" ht="15" hidden="false" customHeight="true" outlineLevel="0" collapsed="false">
      <c r="M74" s="45" t="str">
        <f aca="false">IF($I74="Open",COUNTIF($I$6:$I74,"Open"),"")</f>
        <v/>
      </c>
    </row>
    <row r="75" customFormat="false" ht="15" hidden="false" customHeight="true" outlineLevel="0" collapsed="false">
      <c r="M75" s="45" t="str">
        <f aca="false">IF($I75="Open",COUNTIF($I$6:$I75,"Open"),"")</f>
        <v/>
      </c>
    </row>
    <row r="76" customFormat="false" ht="15" hidden="false" customHeight="true" outlineLevel="0" collapsed="false">
      <c r="M76" s="45" t="str">
        <f aca="false">IF($I76="Open",COUNTIF($I$6:$I76,"Open"),"")</f>
        <v/>
      </c>
    </row>
    <row r="77" customFormat="false" ht="15" hidden="false" customHeight="true" outlineLevel="0" collapsed="false">
      <c r="M77" s="45" t="str">
        <f aca="false">IF($I77="Open",COUNTIF($I$6:$I77,"Open"),"")</f>
        <v/>
      </c>
    </row>
    <row r="78" customFormat="false" ht="15" hidden="false" customHeight="true" outlineLevel="0" collapsed="false">
      <c r="M78" s="45" t="str">
        <f aca="false">IF($I78="Open",COUNTIF($I$6:$I78,"Open"),"")</f>
        <v/>
      </c>
    </row>
    <row r="79" customFormat="false" ht="15" hidden="false" customHeight="true" outlineLevel="0" collapsed="false">
      <c r="M79" s="45" t="str">
        <f aca="false">IF($I79="Open",COUNTIF($I$6:$I79,"Open"),"")</f>
        <v/>
      </c>
    </row>
    <row r="80" customFormat="false" ht="15" hidden="false" customHeight="true" outlineLevel="0" collapsed="false">
      <c r="M80" s="45" t="str">
        <f aca="false">IF($I80="Open",COUNTIF($I$6:$I80,"Open"),"")</f>
        <v/>
      </c>
    </row>
    <row r="81" customFormat="false" ht="15" hidden="false" customHeight="true" outlineLevel="0" collapsed="false">
      <c r="M81" s="45" t="str">
        <f aca="false">IF($I81="Open",COUNTIF($I$6:$I81,"Open"),"")</f>
        <v/>
      </c>
    </row>
    <row r="82" customFormat="false" ht="15" hidden="false" customHeight="true" outlineLevel="0" collapsed="false">
      <c r="M82" s="45" t="str">
        <f aca="false">IF($I82="Open",COUNTIF($I$6:$I82,"Open"),"")</f>
        <v/>
      </c>
    </row>
    <row r="83" customFormat="false" ht="15" hidden="false" customHeight="true" outlineLevel="0" collapsed="false">
      <c r="M83" s="45" t="str">
        <f aca="false">IF($I83="Open",COUNTIF($I$6:$I83,"Open"),"")</f>
        <v/>
      </c>
    </row>
    <row r="84" customFormat="false" ht="15" hidden="false" customHeight="true" outlineLevel="0" collapsed="false">
      <c r="M84" s="45" t="str">
        <f aca="false">IF($I84="Open",COUNTIF($I$6:$I84,"Open"),"")</f>
        <v/>
      </c>
    </row>
    <row r="85" customFormat="false" ht="15" hidden="false" customHeight="true" outlineLevel="0" collapsed="false">
      <c r="M85" s="45" t="str">
        <f aca="false">IF($I85="Open",COUNTIF($I$6:$I85,"Open"),"")</f>
        <v/>
      </c>
    </row>
    <row r="86" customFormat="false" ht="15" hidden="false" customHeight="true" outlineLevel="0" collapsed="false">
      <c r="M86" s="45" t="str">
        <f aca="false">IF($I86="Open",COUNTIF($I$6:$I86,"Open"),"")</f>
        <v/>
      </c>
    </row>
    <row r="87" customFormat="false" ht="15" hidden="false" customHeight="true" outlineLevel="0" collapsed="false">
      <c r="M87" s="45" t="str">
        <f aca="false">IF($I87="Open",COUNTIF($I$6:$I87,"Open"),"")</f>
        <v/>
      </c>
    </row>
    <row r="88" customFormat="false" ht="15" hidden="false" customHeight="true" outlineLevel="0" collapsed="false">
      <c r="M88" s="45" t="str">
        <f aca="false">IF($I88="Open",COUNTIF($I$6:$I88,"Open"),"")</f>
        <v/>
      </c>
    </row>
    <row r="89" customFormat="false" ht="15" hidden="false" customHeight="true" outlineLevel="0" collapsed="false">
      <c r="M89" s="45" t="str">
        <f aca="false">IF($I89="Open",COUNTIF($I$6:$I89,"Open"),"")</f>
        <v/>
      </c>
    </row>
    <row r="90" customFormat="false" ht="15" hidden="false" customHeight="true" outlineLevel="0" collapsed="false">
      <c r="M90" s="45" t="str">
        <f aca="false">IF($I90="Open",COUNTIF($I$6:$I90,"Open"),"")</f>
        <v/>
      </c>
    </row>
    <row r="91" customFormat="false" ht="15" hidden="false" customHeight="true" outlineLevel="0" collapsed="false">
      <c r="M91" s="45" t="str">
        <f aca="false">IF($I91="Open",COUNTIF($I$6:$I91,"Open"),"")</f>
        <v/>
      </c>
    </row>
    <row r="92" customFormat="false" ht="15" hidden="false" customHeight="true" outlineLevel="0" collapsed="false">
      <c r="M92" s="45" t="str">
        <f aca="false">IF($I92="Open",COUNTIF($I$6:$I92,"Open"),"")</f>
        <v/>
      </c>
    </row>
    <row r="93" customFormat="false" ht="15" hidden="false" customHeight="true" outlineLevel="0" collapsed="false">
      <c r="M93" s="45" t="str">
        <f aca="false">IF($I93="Open",COUNTIF($I$6:$I93,"Open"),"")</f>
        <v/>
      </c>
    </row>
    <row r="94" customFormat="false" ht="15" hidden="false" customHeight="true" outlineLevel="0" collapsed="false">
      <c r="M94" s="45" t="str">
        <f aca="false">IF($I94="Open",COUNTIF($I$6:$I94,"Open"),"")</f>
        <v/>
      </c>
    </row>
    <row r="95" customFormat="false" ht="15" hidden="false" customHeight="true" outlineLevel="0" collapsed="false">
      <c r="M95" s="45" t="str">
        <f aca="false">IF($I95="Open",COUNTIF($I$6:$I95,"Open"),"")</f>
        <v/>
      </c>
    </row>
    <row r="96" customFormat="false" ht="15" hidden="false" customHeight="true" outlineLevel="0" collapsed="false">
      <c r="M96" s="45" t="str">
        <f aca="false">IF($I96="Open",COUNTIF($I$6:$I96,"Open"),"")</f>
        <v/>
      </c>
    </row>
    <row r="97" customFormat="false" ht="15" hidden="false" customHeight="true" outlineLevel="0" collapsed="false">
      <c r="M97" s="45" t="str">
        <f aca="false">IF($I97="Open",COUNTIF($I$6:$I97,"Open"),"")</f>
        <v/>
      </c>
    </row>
    <row r="98" customFormat="false" ht="15" hidden="false" customHeight="true" outlineLevel="0" collapsed="false">
      <c r="M98" s="45" t="str">
        <f aca="false">IF($I98="Open",COUNTIF($I$6:$I98,"Open"),"")</f>
        <v/>
      </c>
    </row>
    <row r="99" customFormat="false" ht="15" hidden="false" customHeight="true" outlineLevel="0" collapsed="false">
      <c r="M99" s="45" t="str">
        <f aca="false">IF($I99="Open",COUNTIF($I$6:$I99,"Open"),"")</f>
        <v/>
      </c>
    </row>
    <row r="100" customFormat="false" ht="15" hidden="false" customHeight="true" outlineLevel="0" collapsed="false">
      <c r="M100" s="45" t="str">
        <f aca="false">IF($I100="Open",COUNTIF($I$6:$I100,"Open"),"")</f>
        <v/>
      </c>
    </row>
    <row r="101" customFormat="false" ht="15" hidden="false" customHeight="true" outlineLevel="0" collapsed="false">
      <c r="M101" s="45" t="str">
        <f aca="false">IF($I101="Open",COUNTIF($I$6:$I101,"Open"),"")</f>
        <v/>
      </c>
    </row>
    <row r="102" customFormat="false" ht="15" hidden="false" customHeight="true" outlineLevel="0" collapsed="false">
      <c r="M102" s="45" t="str">
        <f aca="false">IF($I102="Open",COUNTIF($I$6:$I102,"Open"),"")</f>
        <v/>
      </c>
    </row>
    <row r="103" customFormat="false" ht="15" hidden="false" customHeight="true" outlineLevel="0" collapsed="false">
      <c r="M103" s="45" t="str">
        <f aca="false">IF($I103="Open",COUNTIF($I$6:$I103,"Open"),"")</f>
        <v/>
      </c>
    </row>
    <row r="104" customFormat="false" ht="15" hidden="false" customHeight="true" outlineLevel="0" collapsed="false">
      <c r="M104" s="45" t="str">
        <f aca="false">IF($I104="Open",COUNTIF($I$6:$I104,"Open"),"")</f>
        <v/>
      </c>
    </row>
    <row r="105" customFormat="false" ht="15" hidden="false" customHeight="true" outlineLevel="0" collapsed="false">
      <c r="M105" s="45" t="str">
        <f aca="false">IF($I105="Open",COUNTIF($I$6:$I105,"Open"),"")</f>
        <v/>
      </c>
    </row>
    <row r="106" customFormat="false" ht="15" hidden="false" customHeight="true" outlineLevel="0" collapsed="false">
      <c r="M106" s="45" t="str">
        <f aca="false">IF($I106="Open",COUNTIF($I$6:$I106,"Open"),"")</f>
        <v/>
      </c>
    </row>
    <row r="107" customFormat="false" ht="15" hidden="false" customHeight="true" outlineLevel="0" collapsed="false">
      <c r="M107" s="45" t="str">
        <f aca="false">IF($I107="Open",COUNTIF($I$6:$I107,"Open"),"")</f>
        <v/>
      </c>
    </row>
    <row r="108" customFormat="false" ht="15" hidden="false" customHeight="true" outlineLevel="0" collapsed="false">
      <c r="M108" s="45" t="str">
        <f aca="false">IF($I108="Open",COUNTIF($I$6:$I108,"Open"),"")</f>
        <v/>
      </c>
    </row>
    <row r="109" customFormat="false" ht="15" hidden="false" customHeight="true" outlineLevel="0" collapsed="false">
      <c r="M109" s="45" t="str">
        <f aca="false">IF($I109="Open",COUNTIF($I$6:$I109,"Open"),"")</f>
        <v/>
      </c>
    </row>
    <row r="110" customFormat="false" ht="15" hidden="false" customHeight="true" outlineLevel="0" collapsed="false">
      <c r="M110" s="45" t="str">
        <f aca="false">IF($I110="Open",COUNTIF($I$6:$I110,"Open"),"")</f>
        <v/>
      </c>
    </row>
    <row r="111" customFormat="false" ht="15" hidden="false" customHeight="true" outlineLevel="0" collapsed="false">
      <c r="M111" s="45" t="str">
        <f aca="false">IF($I111="Open",COUNTIF($I$6:$I111,"Open"),"")</f>
        <v/>
      </c>
    </row>
    <row r="112" customFormat="false" ht="15" hidden="false" customHeight="true" outlineLevel="0" collapsed="false">
      <c r="M112" s="45" t="str">
        <f aca="false">IF($I112="Open",COUNTIF($I$6:$I112,"Open"),"")</f>
        <v/>
      </c>
    </row>
    <row r="113" customFormat="false" ht="15" hidden="false" customHeight="true" outlineLevel="0" collapsed="false">
      <c r="M113" s="45" t="str">
        <f aca="false">IF($I113="Open",COUNTIF($I$6:$I113,"Open"),"")</f>
        <v/>
      </c>
    </row>
    <row r="114" customFormat="false" ht="15" hidden="false" customHeight="true" outlineLevel="0" collapsed="false">
      <c r="M114" s="45" t="str">
        <f aca="false">IF($I114="Open",COUNTIF($I$6:$I114,"Open"),"")</f>
        <v/>
      </c>
    </row>
    <row r="115" customFormat="false" ht="15" hidden="false" customHeight="true" outlineLevel="0" collapsed="false">
      <c r="M115" s="45" t="str">
        <f aca="false">IF($I115="Open",COUNTIF($I$6:$I115,"Open"),"")</f>
        <v/>
      </c>
    </row>
    <row r="116" customFormat="false" ht="15" hidden="false" customHeight="true" outlineLevel="0" collapsed="false">
      <c r="M116" s="45" t="str">
        <f aca="false">IF($I116="Open",COUNTIF($I$6:$I116,"Open"),"")</f>
        <v/>
      </c>
    </row>
    <row r="117" customFormat="false" ht="15" hidden="false" customHeight="true" outlineLevel="0" collapsed="false">
      <c r="M117" s="45" t="str">
        <f aca="false">IF($I117="Open",COUNTIF($I$6:$I117,"Open"),"")</f>
        <v/>
      </c>
    </row>
    <row r="118" customFormat="false" ht="15" hidden="false" customHeight="true" outlineLevel="0" collapsed="false">
      <c r="M118" s="45" t="str">
        <f aca="false">IF($I118="Open",COUNTIF($I$6:$I118,"Open"),"")</f>
        <v/>
      </c>
    </row>
    <row r="119" customFormat="false" ht="15" hidden="false" customHeight="true" outlineLevel="0" collapsed="false">
      <c r="M119" s="45" t="str">
        <f aca="false">IF($I119="Open",COUNTIF($I$6:$I119,"Open"),"")</f>
        <v/>
      </c>
    </row>
    <row r="120" customFormat="false" ht="15" hidden="false" customHeight="true" outlineLevel="0" collapsed="false">
      <c r="M120" s="45" t="str">
        <f aca="false">IF($I120="Open",COUNTIF($I$6:$I120,"Open"),"")</f>
        <v/>
      </c>
    </row>
    <row r="121" customFormat="false" ht="15" hidden="false" customHeight="true" outlineLevel="0" collapsed="false">
      <c r="M121" s="45" t="str">
        <f aca="false">IF($I121="Open",COUNTIF($I$6:$I121,"Open"),"")</f>
        <v/>
      </c>
    </row>
    <row r="122" customFormat="false" ht="15" hidden="false" customHeight="true" outlineLevel="0" collapsed="false">
      <c r="M122" s="45" t="str">
        <f aca="false">IF($I122="Open",COUNTIF($I$6:$I122,"Open"),"")</f>
        <v/>
      </c>
    </row>
    <row r="123" customFormat="false" ht="15" hidden="false" customHeight="true" outlineLevel="0" collapsed="false">
      <c r="M123" s="45" t="str">
        <f aca="false">IF($I123="Open",COUNTIF($I$6:$I123,"Open"),"")</f>
        <v/>
      </c>
    </row>
    <row r="124" customFormat="false" ht="15" hidden="false" customHeight="true" outlineLevel="0" collapsed="false">
      <c r="M124" s="45" t="str">
        <f aca="false">IF($I124="Open",COUNTIF($I$6:$I124,"Open"),"")</f>
        <v/>
      </c>
    </row>
    <row r="125" customFormat="false" ht="15" hidden="false" customHeight="true" outlineLevel="0" collapsed="false">
      <c r="M125" s="45" t="str">
        <f aca="false">IF($I125="Open",COUNTIF($I$6:$I125,"Open"),"")</f>
        <v/>
      </c>
    </row>
    <row r="126" customFormat="false" ht="15" hidden="false" customHeight="true" outlineLevel="0" collapsed="false">
      <c r="M126" s="45" t="str">
        <f aca="false">IF($I126="Open",COUNTIF($I$6:$I126,"Open"),"")</f>
        <v/>
      </c>
    </row>
    <row r="127" customFormat="false" ht="15" hidden="false" customHeight="true" outlineLevel="0" collapsed="false">
      <c r="M127" s="45" t="str">
        <f aca="false">IF($I127="Open",COUNTIF($I$6:$I127,"Open"),"")</f>
        <v/>
      </c>
    </row>
    <row r="128" customFormat="false" ht="15" hidden="false" customHeight="true" outlineLevel="0" collapsed="false">
      <c r="M128" s="45" t="str">
        <f aca="false">IF($I128="Open",COUNTIF($I$6:$I128,"Open"),"")</f>
        <v/>
      </c>
    </row>
    <row r="129" customFormat="false" ht="15" hidden="false" customHeight="true" outlineLevel="0" collapsed="false">
      <c r="M129" s="45" t="str">
        <f aca="false">IF($I129="Open",COUNTIF($I$6:$I129,"Open"),"")</f>
        <v/>
      </c>
    </row>
    <row r="130" customFormat="false" ht="15" hidden="false" customHeight="true" outlineLevel="0" collapsed="false">
      <c r="M130" s="45" t="str">
        <f aca="false">IF($I130="Open",COUNTIF($I$6:$I130,"Open"),"")</f>
        <v/>
      </c>
    </row>
    <row r="131" customFormat="false" ht="15" hidden="false" customHeight="true" outlineLevel="0" collapsed="false">
      <c r="M131" s="45" t="str">
        <f aca="false">IF($I131="Open",COUNTIF($I$6:$I131,"Open"),"")</f>
        <v/>
      </c>
    </row>
    <row r="132" customFormat="false" ht="15" hidden="false" customHeight="true" outlineLevel="0" collapsed="false">
      <c r="M132" s="45" t="str">
        <f aca="false">IF($I132="Open",COUNTIF($I$6:$I132,"Open"),"")</f>
        <v/>
      </c>
    </row>
    <row r="133" customFormat="false" ht="15" hidden="false" customHeight="true" outlineLevel="0" collapsed="false">
      <c r="M133" s="45" t="str">
        <f aca="false">IF($I133="Open",COUNTIF($I$6:$I133,"Open"),"")</f>
        <v/>
      </c>
    </row>
    <row r="134" customFormat="false" ht="15" hidden="false" customHeight="true" outlineLevel="0" collapsed="false">
      <c r="M134" s="45" t="str">
        <f aca="false">IF($I134="Open",COUNTIF($I$6:$I134,"Open"),"")</f>
        <v/>
      </c>
    </row>
    <row r="135" customFormat="false" ht="15" hidden="false" customHeight="true" outlineLevel="0" collapsed="false">
      <c r="M135" s="45" t="str">
        <f aca="false">IF($I135="Open",COUNTIF($I$6:$I135,"Open"),"")</f>
        <v/>
      </c>
    </row>
    <row r="136" customFormat="false" ht="15" hidden="false" customHeight="true" outlineLevel="0" collapsed="false">
      <c r="M136" s="45" t="str">
        <f aca="false">IF($I136="Open",COUNTIF($I$6:$I136,"Open"),"")</f>
        <v/>
      </c>
    </row>
    <row r="137" customFormat="false" ht="15" hidden="false" customHeight="true" outlineLevel="0" collapsed="false">
      <c r="M137" s="45" t="str">
        <f aca="false">IF($I137="Open",COUNTIF($I$6:$I137,"Open"),"")</f>
        <v/>
      </c>
    </row>
    <row r="138" customFormat="false" ht="15" hidden="false" customHeight="true" outlineLevel="0" collapsed="false">
      <c r="M138" s="45" t="str">
        <f aca="false">IF($I138="Open",COUNTIF($I$6:$I138,"Open"),"")</f>
        <v/>
      </c>
    </row>
    <row r="139" customFormat="false" ht="15" hidden="false" customHeight="true" outlineLevel="0" collapsed="false">
      <c r="M139" s="45" t="str">
        <f aca="false">IF($I139="Open",COUNTIF($I$6:$I139,"Open"),"")</f>
        <v/>
      </c>
    </row>
    <row r="140" customFormat="false" ht="15" hidden="false" customHeight="true" outlineLevel="0" collapsed="false">
      <c r="M140" s="45" t="str">
        <f aca="false">IF($I140="Open",COUNTIF($I$6:$I140,"Open"),"")</f>
        <v/>
      </c>
    </row>
    <row r="141" customFormat="false" ht="15" hidden="false" customHeight="true" outlineLevel="0" collapsed="false">
      <c r="M141" s="45" t="str">
        <f aca="false">IF($I141="Open",COUNTIF($I$6:$I141,"Open"),"")</f>
        <v/>
      </c>
    </row>
    <row r="142" customFormat="false" ht="15" hidden="false" customHeight="true" outlineLevel="0" collapsed="false">
      <c r="M142" s="45" t="str">
        <f aca="false">IF($I142="Open",COUNTIF($I$6:$I142,"Open"),"")</f>
        <v/>
      </c>
    </row>
    <row r="143" customFormat="false" ht="15" hidden="false" customHeight="true" outlineLevel="0" collapsed="false">
      <c r="M143" s="45" t="str">
        <f aca="false">IF($I143="Open",COUNTIF($I$6:$I143,"Open"),"")</f>
        <v/>
      </c>
    </row>
    <row r="144" customFormat="false" ht="15" hidden="false" customHeight="true" outlineLevel="0" collapsed="false">
      <c r="M144" s="45" t="str">
        <f aca="false">IF($I144="Open",COUNTIF($I$6:$I144,"Open"),"")</f>
        <v/>
      </c>
    </row>
    <row r="145" customFormat="false" ht="15" hidden="false" customHeight="true" outlineLevel="0" collapsed="false">
      <c r="M145" s="45" t="str">
        <f aca="false">IF($I145="Open",COUNTIF($I$6:$I145,"Open"),"")</f>
        <v/>
      </c>
    </row>
    <row r="146" customFormat="false" ht="15" hidden="false" customHeight="true" outlineLevel="0" collapsed="false">
      <c r="M146" s="45" t="str">
        <f aca="false">IF($I146="Open",COUNTIF($I$6:$I146,"Open"),"")</f>
        <v/>
      </c>
    </row>
    <row r="147" customFormat="false" ht="15" hidden="false" customHeight="true" outlineLevel="0" collapsed="false">
      <c r="M147" s="45" t="str">
        <f aca="false">IF($I147="Open",COUNTIF($I$6:$I147,"Open"),"")</f>
        <v/>
      </c>
    </row>
    <row r="148" customFormat="false" ht="15" hidden="false" customHeight="true" outlineLevel="0" collapsed="false">
      <c r="M148" s="45" t="str">
        <f aca="false">IF($I148="Open",COUNTIF($I$6:$I148,"Open"),"")</f>
        <v/>
      </c>
    </row>
    <row r="149" customFormat="false" ht="15" hidden="false" customHeight="true" outlineLevel="0" collapsed="false">
      <c r="M149" s="45" t="str">
        <f aca="false">IF($I149="Open",COUNTIF($I$6:$I149,"Open"),"")</f>
        <v/>
      </c>
    </row>
    <row r="150" customFormat="false" ht="15" hidden="false" customHeight="true" outlineLevel="0" collapsed="false">
      <c r="M150" s="45" t="str">
        <f aca="false">IF($I150="Open",COUNTIF($I$6:$I150,"Open"),"")</f>
        <v/>
      </c>
    </row>
    <row r="151" customFormat="false" ht="15" hidden="false" customHeight="true" outlineLevel="0" collapsed="false">
      <c r="M151" s="45" t="str">
        <f aca="false">IF($I151="Open",COUNTIF($I$6:$I151,"Open"),"")</f>
        <v/>
      </c>
    </row>
    <row r="152" customFormat="false" ht="15" hidden="false" customHeight="true" outlineLevel="0" collapsed="false">
      <c r="M152" s="45" t="str">
        <f aca="false">IF($I152="Open",COUNTIF($I$6:$I152,"Open"),"")</f>
        <v/>
      </c>
    </row>
    <row r="153" customFormat="false" ht="15" hidden="false" customHeight="true" outlineLevel="0" collapsed="false">
      <c r="M153" s="45" t="str">
        <f aca="false">IF($I153="Open",COUNTIF($I$6:$I153,"Open"),"")</f>
        <v/>
      </c>
    </row>
    <row r="154" customFormat="false" ht="15" hidden="false" customHeight="true" outlineLevel="0" collapsed="false">
      <c r="M154" s="45" t="str">
        <f aca="false">IF($I154="Open",COUNTIF($I$6:$I154,"Open"),"")</f>
        <v/>
      </c>
    </row>
    <row r="155" customFormat="false" ht="15" hidden="false" customHeight="true" outlineLevel="0" collapsed="false">
      <c r="M155" s="45" t="str">
        <f aca="false">IF($I155="Open",COUNTIF($I$6:$I155,"Open"),"")</f>
        <v/>
      </c>
    </row>
    <row r="156" customFormat="false" ht="15" hidden="false" customHeight="true" outlineLevel="0" collapsed="false">
      <c r="M156" s="45" t="str">
        <f aca="false">IF($I156="Open",COUNTIF($I$6:$I156,"Open"),"")</f>
        <v/>
      </c>
    </row>
    <row r="157" customFormat="false" ht="15" hidden="false" customHeight="true" outlineLevel="0" collapsed="false">
      <c r="M157" s="45" t="str">
        <f aca="false">IF($I157="Open",COUNTIF($I$6:$I157,"Open"),"")</f>
        <v/>
      </c>
    </row>
    <row r="158" customFormat="false" ht="15" hidden="false" customHeight="true" outlineLevel="0" collapsed="false">
      <c r="M158" s="45" t="str">
        <f aca="false">IF($I158="Open",COUNTIF($I$6:$I158,"Open"),"")</f>
        <v/>
      </c>
    </row>
    <row r="159" customFormat="false" ht="15" hidden="false" customHeight="true" outlineLevel="0" collapsed="false">
      <c r="M159" s="45" t="str">
        <f aca="false">IF($I159="Open",COUNTIF($I$6:$I159,"Open"),"")</f>
        <v/>
      </c>
    </row>
    <row r="160" customFormat="false" ht="15" hidden="false" customHeight="true" outlineLevel="0" collapsed="false">
      <c r="M160" s="45" t="str">
        <f aca="false">IF($I160="Open",COUNTIF($I$6:$I160,"Open"),"")</f>
        <v/>
      </c>
    </row>
    <row r="161" customFormat="false" ht="15" hidden="false" customHeight="true" outlineLevel="0" collapsed="false">
      <c r="M161" s="45" t="str">
        <f aca="false">IF($I161="Open",COUNTIF($I$6:$I161,"Open"),"")</f>
        <v/>
      </c>
    </row>
    <row r="162" customFormat="false" ht="15" hidden="false" customHeight="true" outlineLevel="0" collapsed="false">
      <c r="M162" s="45" t="str">
        <f aca="false">IF($I162="Open",COUNTIF($I$6:$I162,"Open"),"")</f>
        <v/>
      </c>
    </row>
    <row r="163" customFormat="false" ht="15" hidden="false" customHeight="true" outlineLevel="0" collapsed="false">
      <c r="M163" s="45" t="str">
        <f aca="false">IF($I163="Open",COUNTIF($I$6:$I163,"Open"),"")</f>
        <v/>
      </c>
    </row>
    <row r="164" customFormat="false" ht="15" hidden="false" customHeight="true" outlineLevel="0" collapsed="false">
      <c r="M164" s="45" t="str">
        <f aca="false">IF($I164="Open",COUNTIF($I$6:$I164,"Open"),"")</f>
        <v/>
      </c>
    </row>
    <row r="165" customFormat="false" ht="15" hidden="false" customHeight="true" outlineLevel="0" collapsed="false">
      <c r="M165" s="45" t="str">
        <f aca="false">IF($I165="Open",COUNTIF($I$6:$I165,"Open"),"")</f>
        <v/>
      </c>
    </row>
    <row r="166" customFormat="false" ht="15" hidden="false" customHeight="true" outlineLevel="0" collapsed="false">
      <c r="M166" s="45" t="str">
        <f aca="false">IF($I166="Open",COUNTIF($I$6:$I166,"Open"),"")</f>
        <v/>
      </c>
    </row>
    <row r="167" customFormat="false" ht="15" hidden="false" customHeight="true" outlineLevel="0" collapsed="false">
      <c r="M167" s="45" t="str">
        <f aca="false">IF($I167="Open",COUNTIF($I$6:$I167,"Open"),"")</f>
        <v/>
      </c>
    </row>
    <row r="168" customFormat="false" ht="15" hidden="false" customHeight="true" outlineLevel="0" collapsed="false">
      <c r="M168" s="45" t="str">
        <f aca="false">IF($I168="Open",COUNTIF($I$6:$I168,"Open"),"")</f>
        <v/>
      </c>
    </row>
    <row r="169" customFormat="false" ht="15" hidden="false" customHeight="true" outlineLevel="0" collapsed="false">
      <c r="M169" s="45" t="str">
        <f aca="false">IF($I169="Open",COUNTIF($I$6:$I169,"Open"),"")</f>
        <v/>
      </c>
    </row>
    <row r="170" customFormat="false" ht="15" hidden="false" customHeight="true" outlineLevel="0" collapsed="false">
      <c r="M170" s="45" t="str">
        <f aca="false">IF($I170="Open",COUNTIF($I$6:$I170,"Open"),"")</f>
        <v/>
      </c>
    </row>
    <row r="171" customFormat="false" ht="15" hidden="false" customHeight="true" outlineLevel="0" collapsed="false">
      <c r="M171" s="45" t="str">
        <f aca="false">IF($I171="Open",COUNTIF($I$6:$I171,"Open"),"")</f>
        <v/>
      </c>
    </row>
    <row r="172" customFormat="false" ht="15" hidden="false" customHeight="true" outlineLevel="0" collapsed="false">
      <c r="M172" s="45" t="str">
        <f aca="false">IF($I172="Open",COUNTIF($I$6:$I172,"Open"),"")</f>
        <v/>
      </c>
    </row>
    <row r="173" customFormat="false" ht="15" hidden="false" customHeight="true" outlineLevel="0" collapsed="false">
      <c r="M173" s="45" t="str">
        <f aca="false">IF($I173="Open",COUNTIF($I$6:$I173,"Open"),"")</f>
        <v/>
      </c>
    </row>
    <row r="174" customFormat="false" ht="15" hidden="false" customHeight="true" outlineLevel="0" collapsed="false">
      <c r="M174" s="45" t="str">
        <f aca="false">IF($I174="Open",COUNTIF($I$6:$I174,"Open"),"")</f>
        <v/>
      </c>
    </row>
    <row r="175" customFormat="false" ht="15" hidden="false" customHeight="true" outlineLevel="0" collapsed="false">
      <c r="M175" s="45" t="str">
        <f aca="false">IF($I175="Open",COUNTIF($I$6:$I175,"Open"),"")</f>
        <v/>
      </c>
    </row>
    <row r="176" customFormat="false" ht="15" hidden="false" customHeight="true" outlineLevel="0" collapsed="false">
      <c r="M176" s="45" t="str">
        <f aca="false">IF($I176="Open",COUNTIF($I$6:$I176,"Open"),"")</f>
        <v/>
      </c>
    </row>
    <row r="177" customFormat="false" ht="15" hidden="false" customHeight="true" outlineLevel="0" collapsed="false">
      <c r="M177" s="45" t="str">
        <f aca="false">IF($I177="Open",COUNTIF($I$6:$I177,"Open"),"")</f>
        <v/>
      </c>
    </row>
    <row r="178" customFormat="false" ht="15" hidden="false" customHeight="true" outlineLevel="0" collapsed="false">
      <c r="M178" s="45" t="str">
        <f aca="false">IF($I178="Open",COUNTIF($I$6:$I178,"Open"),"")</f>
        <v/>
      </c>
    </row>
    <row r="179" customFormat="false" ht="15" hidden="false" customHeight="true" outlineLevel="0" collapsed="false">
      <c r="M179" s="45" t="str">
        <f aca="false">IF($I179="Open",COUNTIF($I$6:$I179,"Open"),"")</f>
        <v/>
      </c>
    </row>
    <row r="180" customFormat="false" ht="15" hidden="false" customHeight="true" outlineLevel="0" collapsed="false">
      <c r="M180" s="45" t="str">
        <f aca="false">IF($I180="Open",COUNTIF($I$6:$I180,"Open"),"")</f>
        <v/>
      </c>
    </row>
    <row r="181" customFormat="false" ht="15" hidden="false" customHeight="true" outlineLevel="0" collapsed="false">
      <c r="M181" s="45" t="str">
        <f aca="false">IF($I181="Open",COUNTIF($I$6:$I181,"Open"),"")</f>
        <v/>
      </c>
    </row>
    <row r="182" customFormat="false" ht="15" hidden="false" customHeight="true" outlineLevel="0" collapsed="false">
      <c r="M182" s="45" t="str">
        <f aca="false">IF($I182="Open",COUNTIF($I$6:$I182,"Open"),"")</f>
        <v/>
      </c>
    </row>
    <row r="183" customFormat="false" ht="15" hidden="false" customHeight="true" outlineLevel="0" collapsed="false">
      <c r="M183" s="45" t="str">
        <f aca="false">IF($I183="Open",COUNTIF($I$6:$I183,"Open"),"")</f>
        <v/>
      </c>
    </row>
    <row r="184" customFormat="false" ht="15" hidden="false" customHeight="true" outlineLevel="0" collapsed="false">
      <c r="M184" s="45" t="str">
        <f aca="false">IF($I184="Open",COUNTIF($I$6:$I184,"Open"),"")</f>
        <v/>
      </c>
    </row>
    <row r="185" customFormat="false" ht="15" hidden="false" customHeight="true" outlineLevel="0" collapsed="false">
      <c r="M185" s="45" t="str">
        <f aca="false">IF($I185="Open",COUNTIF($I$6:$I185,"Open"),"")</f>
        <v/>
      </c>
    </row>
    <row r="186" customFormat="false" ht="15" hidden="false" customHeight="true" outlineLevel="0" collapsed="false">
      <c r="M186" s="45" t="str">
        <f aca="false">IF($I186="Open",COUNTIF($I$6:$I186,"Open"),"")</f>
        <v/>
      </c>
    </row>
    <row r="187" customFormat="false" ht="15" hidden="false" customHeight="true" outlineLevel="0" collapsed="false">
      <c r="M187" s="45" t="str">
        <f aca="false">IF($I187="Open",COUNTIF($I$6:$I187,"Open"),"")</f>
        <v/>
      </c>
    </row>
    <row r="188" customFormat="false" ht="15" hidden="false" customHeight="true" outlineLevel="0" collapsed="false">
      <c r="M188" s="45" t="str">
        <f aca="false">IF($I188="Open",COUNTIF($I$6:$I188,"Open"),"")</f>
        <v/>
      </c>
    </row>
    <row r="189" customFormat="false" ht="15" hidden="false" customHeight="true" outlineLevel="0" collapsed="false">
      <c r="M189" s="45" t="str">
        <f aca="false">IF($I189="Open",COUNTIF($I$6:$I189,"Open"),"")</f>
        <v/>
      </c>
    </row>
    <row r="190" customFormat="false" ht="15" hidden="false" customHeight="true" outlineLevel="0" collapsed="false">
      <c r="M190" s="45" t="str">
        <f aca="false">IF($I190="Open",COUNTIF($I$6:$I190,"Open"),"")</f>
        <v/>
      </c>
    </row>
    <row r="191" customFormat="false" ht="15" hidden="false" customHeight="true" outlineLevel="0" collapsed="false">
      <c r="M191" s="45" t="str">
        <f aca="false">IF($I191="Open",COUNTIF($I$6:$I191,"Open"),"")</f>
        <v/>
      </c>
    </row>
    <row r="192" customFormat="false" ht="15" hidden="false" customHeight="true" outlineLevel="0" collapsed="false">
      <c r="M192" s="45" t="str">
        <f aca="false">IF($I192="Open",COUNTIF($I$6:$I192,"Open"),"")</f>
        <v/>
      </c>
    </row>
    <row r="193" customFormat="false" ht="15" hidden="false" customHeight="true" outlineLevel="0" collapsed="false">
      <c r="M193" s="45" t="str">
        <f aca="false">IF($I193="Open",COUNTIF($I$6:$I193,"Open"),"")</f>
        <v/>
      </c>
    </row>
    <row r="194" customFormat="false" ht="15" hidden="false" customHeight="true" outlineLevel="0" collapsed="false">
      <c r="M194" s="45" t="str">
        <f aca="false">IF($I194="Open",COUNTIF($I$6:$I194,"Open"),"")</f>
        <v/>
      </c>
    </row>
    <row r="195" customFormat="false" ht="15" hidden="false" customHeight="true" outlineLevel="0" collapsed="false">
      <c r="M195" s="45" t="str">
        <f aca="false">IF($I195="Open",COUNTIF($I$6:$I195,"Open"),"")</f>
        <v/>
      </c>
    </row>
    <row r="196" customFormat="false" ht="15" hidden="false" customHeight="true" outlineLevel="0" collapsed="false">
      <c r="M196" s="45" t="str">
        <f aca="false">IF($I196="Open",COUNTIF($I$6:$I196,"Open"),"")</f>
        <v/>
      </c>
    </row>
    <row r="197" customFormat="false" ht="15" hidden="false" customHeight="true" outlineLevel="0" collapsed="false">
      <c r="M197" s="45" t="str">
        <f aca="false">IF($I197="Open",COUNTIF($I$6:$I197,"Open"),"")</f>
        <v/>
      </c>
    </row>
    <row r="198" customFormat="false" ht="15" hidden="false" customHeight="true" outlineLevel="0" collapsed="false">
      <c r="M198" s="45" t="str">
        <f aca="false">IF($I198="Open",COUNTIF($I$6:$I198,"Open"),"")</f>
        <v/>
      </c>
    </row>
    <row r="199" customFormat="false" ht="15" hidden="false" customHeight="true" outlineLevel="0" collapsed="false">
      <c r="M199" s="45" t="str">
        <f aca="false">IF($I199="Open",COUNTIF($I$6:$I199,"Open"),"")</f>
        <v/>
      </c>
    </row>
    <row r="200" customFormat="false" ht="15" hidden="false" customHeight="true" outlineLevel="0" collapsed="false">
      <c r="M200" s="45" t="str">
        <f aca="false">IF($I200="Open",COUNTIF($I$6:$I200,"Open"),"")</f>
        <v/>
      </c>
    </row>
  </sheetData>
  <autoFilter ref="B5:K25"/>
  <mergeCells count="3">
    <mergeCell ref="A1:K1"/>
    <mergeCell ref="A2:K2"/>
    <mergeCell ref="A3:K3"/>
  </mergeCells>
  <conditionalFormatting sqref="K6:K25">
    <cfRule type="cellIs" priority="2" operator="equal" aboveAverage="0" equalAverage="0" bottom="0" percent="0" rank="0" text="" dxfId="12">
      <formula>"OVERDUE"</formula>
    </cfRule>
    <cfRule type="cellIs" priority="3" operator="equal" aboveAverage="0" equalAverage="0" bottom="0" percent="0" rank="0" text="" dxfId="14">
      <formula>"DUE SOON"</formula>
    </cfRule>
    <cfRule type="cellIs" priority="4" operator="equal" aboveAverage="0" equalAverage="0" bottom="0" percent="0" rank="0" text="" dxfId="15">
      <formula>"ON TRACK"</formula>
    </cfRule>
  </conditionalFormatting>
  <conditionalFormatting sqref="I6:I25">
    <cfRule type="cellIs" priority="5" operator="equal" aboveAverage="0" equalAverage="0" bottom="0" percent="0" rank="0" text="" dxfId="19">
      <formula>"Open"</formula>
    </cfRule>
  </conditionalFormatting>
  <dataValidations count="2">
    <dataValidation allowBlank="true" errorStyle="stop" operator="between" showDropDown="false" showErrorMessage="false" showInputMessage="false" sqref="I6:I25" type="list">
      <formula1>"Open,Closed"</formula1>
      <formula2>0</formula2>
    </dataValidation>
    <dataValidation allowBlank="true" errorStyle="stop" operator="between" showDropDown="false" showErrorMessage="false" showInputMessage="false" sqref="L6:L200" type="list">
      <formula1>"Hero Dependency,Death By Governance,Nobody Wants To Decide,Silent Resistance,Builder Culture"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5"/>
    <col collapsed="false" customWidth="true" hidden="false" outlineLevel="0" max="2" min="2" style="1" width="7"/>
    <col collapsed="false" customWidth="true" hidden="false" outlineLevel="0" max="3" min="3" style="1" width="30"/>
    <col collapsed="false" customWidth="true" hidden="false" outlineLevel="0" max="4" min="4" style="1" width="14"/>
    <col collapsed="false" customWidth="true" hidden="false" outlineLevel="0" max="5" min="5" style="1" width="16"/>
    <col collapsed="false" customWidth="true" hidden="false" outlineLevel="0" max="6" min="6" style="1" width="10"/>
    <col collapsed="false" customWidth="true" hidden="false" outlineLevel="0" max="7" min="7" style="1" width="9"/>
    <col collapsed="false" customWidth="true" hidden="false" outlineLevel="0" max="8" min="8" style="1" width="28"/>
    <col collapsed="false" customWidth="true" hidden="false" outlineLevel="0" max="9" min="9" style="1" width="12"/>
    <col collapsed="false" customWidth="true" hidden="false" outlineLevel="0" max="10" min="10" style="1" width="9"/>
    <col collapsed="false" customWidth="true" hidden="true" outlineLevel="0" max="11" min="11" style="1" width="20"/>
    <col collapsed="false" customWidth="true" hidden="false" outlineLevel="0" max="13" min="13" style="1" width="16"/>
    <col collapsed="false" customWidth="true" hidden="false" outlineLevel="0" max="16" min="14" style="1" width="11"/>
  </cols>
  <sheetData>
    <row r="1" customFormat="false" ht="27.75" hidden="false" customHeight="true" outlineLevel="0" collapsed="false">
      <c r="A1" s="51" t="s">
        <v>207</v>
      </c>
      <c r="B1" s="51"/>
      <c r="C1" s="51"/>
      <c r="D1" s="51"/>
      <c r="E1" s="51"/>
      <c r="F1" s="51"/>
      <c r="G1" s="51"/>
      <c r="H1" s="51"/>
      <c r="I1" s="51"/>
      <c r="J1" s="51"/>
      <c r="K1" s="51"/>
    </row>
    <row r="2" customFormat="false" ht="15.75" hidden="false" customHeight="true" outlineLevel="0" collapsed="false">
      <c r="A2" s="52" t="s">
        <v>208</v>
      </c>
      <c r="B2" s="52"/>
      <c r="C2" s="52"/>
      <c r="D2" s="52"/>
      <c r="E2" s="52"/>
      <c r="F2" s="52"/>
      <c r="G2" s="52"/>
      <c r="H2" s="52"/>
      <c r="I2" s="52"/>
      <c r="J2" s="52"/>
      <c r="K2" s="52"/>
    </row>
    <row r="4" customFormat="false" ht="34.5" hidden="false" customHeight="true" outlineLevel="0" collapsed="false">
      <c r="B4" s="53" t="s">
        <v>209</v>
      </c>
      <c r="C4" s="54" t="n">
        <f aca="false">IFERROR(AVERAGEIFS(I8:I200,K8:K200,"&lt;&gt;Cancelled",I8:I200,"&lt;&gt;"),0)</f>
        <v>0.371428571428571</v>
      </c>
      <c r="E4" s="53" t="s">
        <v>210</v>
      </c>
      <c r="F4" s="55" t="n">
        <f aca="false">SUMIFS(J8:J200,G8:G200,"&lt;&gt;Done")</f>
        <v>69</v>
      </c>
      <c r="G4" s="56" t="s">
        <v>211</v>
      </c>
      <c r="H4" s="53" t="s">
        <v>212</v>
      </c>
      <c r="I4" s="57" t="str">
        <f aca="false">COUNTIF(G8:G200,"Done")&amp;" / "&amp;COUNTA(B8:B200)</f>
        <v>0 / 18</v>
      </c>
    </row>
    <row r="6" customFormat="false" ht="25.5" hidden="false" customHeight="true" outlineLevel="0" collapsed="false">
      <c r="B6" s="58" t="s">
        <v>104</v>
      </c>
      <c r="C6" s="58" t="s">
        <v>213</v>
      </c>
      <c r="D6" s="58" t="s">
        <v>111</v>
      </c>
      <c r="E6" s="58" t="s">
        <v>164</v>
      </c>
      <c r="F6" s="58" t="s">
        <v>113</v>
      </c>
      <c r="G6" s="58" t="s">
        <v>214</v>
      </c>
      <c r="H6" s="58" t="s">
        <v>215</v>
      </c>
      <c r="I6" s="58" t="s">
        <v>216</v>
      </c>
      <c r="J6" s="58" t="s">
        <v>217</v>
      </c>
      <c r="K6" s="59" t="s">
        <v>114</v>
      </c>
      <c r="M6" s="60" t="s">
        <v>218</v>
      </c>
      <c r="N6" s="60"/>
      <c r="O6" s="60"/>
      <c r="P6" s="60"/>
    </row>
    <row r="7" customFormat="false" ht="19.5" hidden="false" customHeight="true" outlineLevel="0" collapsed="false">
      <c r="B7" s="27" t="s">
        <v>219</v>
      </c>
      <c r="C7" s="27"/>
      <c r="D7" s="27"/>
      <c r="E7" s="27"/>
      <c r="F7" s="27"/>
      <c r="G7" s="27"/>
      <c r="H7" s="27"/>
      <c r="I7" s="27"/>
      <c r="J7" s="27"/>
      <c r="M7" s="28" t="s">
        <v>220</v>
      </c>
      <c r="N7" s="28" t="s">
        <v>221</v>
      </c>
      <c r="O7" s="28" t="s">
        <v>222</v>
      </c>
      <c r="P7" s="28" t="s">
        <v>110</v>
      </c>
    </row>
    <row r="8" customFormat="false" ht="30" hidden="false" customHeight="true" outlineLevel="0" collapsed="false">
      <c r="B8" s="61" t="s">
        <v>152</v>
      </c>
      <c r="C8" s="62" t="s">
        <v>223</v>
      </c>
      <c r="D8" s="62" t="s">
        <v>128</v>
      </c>
      <c r="E8" s="62" t="s">
        <v>224</v>
      </c>
      <c r="F8" s="63" t="s">
        <v>144</v>
      </c>
      <c r="G8" s="61" t="str">
        <f aca="false">IF(I8&gt;=1,"GREEN",IF(I8&gt;=0.5,"AMBER","RED"))</f>
        <v>GREEN</v>
      </c>
      <c r="H8" s="62" t="s">
        <v>225</v>
      </c>
      <c r="I8" s="64" t="n">
        <v>1</v>
      </c>
      <c r="J8" s="65" t="n">
        <v>3</v>
      </c>
      <c r="K8" s="66" t="s">
        <v>138</v>
      </c>
      <c r="M8" s="30" t="s">
        <v>226</v>
      </c>
      <c r="N8" s="67" t="n">
        <f aca="false">IFERROR(AVERAGE(I8:I11),0)</f>
        <v>0.85</v>
      </c>
      <c r="O8" s="68" t="n">
        <f aca="false">SUMIFS(J8:J11,I8:I11,"&lt;1")</f>
        <v>6</v>
      </c>
      <c r="P8" s="69" t="str">
        <f aca="false">IF(N8&gt;=0.8,"GREEN",IF(N8&gt;=0.4,"AMBER","RED"))</f>
        <v>GREEN</v>
      </c>
    </row>
    <row r="9" customFormat="false" ht="30" hidden="false" customHeight="true" outlineLevel="0" collapsed="false">
      <c r="B9" s="61" t="s">
        <v>158</v>
      </c>
      <c r="C9" s="62" t="s">
        <v>227</v>
      </c>
      <c r="D9" s="62" t="s">
        <v>228</v>
      </c>
      <c r="E9" s="62" t="s">
        <v>229</v>
      </c>
      <c r="F9" s="63" t="s">
        <v>230</v>
      </c>
      <c r="G9" s="61" t="str">
        <f aca="false">IF(I9&gt;=1,"GREEN",IF(I9&gt;=0.5,"AMBER","RED"))</f>
        <v>RED</v>
      </c>
      <c r="H9" s="62" t="s">
        <v>231</v>
      </c>
      <c r="I9" s="64" t="n">
        <v>0.4</v>
      </c>
      <c r="J9" s="65" t="n">
        <v>6</v>
      </c>
      <c r="K9" s="66" t="s">
        <v>131</v>
      </c>
      <c r="M9" s="30" t="s">
        <v>232</v>
      </c>
      <c r="N9" s="67" t="n">
        <f aca="false">IFERROR(AVERAGE(I14:I17),0)</f>
        <v>0.3</v>
      </c>
      <c r="O9" s="68" t="n">
        <f aca="false">SUMIFS(J14:J17,I14:I17,"&lt;1")</f>
        <v>24</v>
      </c>
      <c r="P9" s="69" t="str">
        <f aca="false">IF(N9&gt;=0.8,"GREEN",IF(N9&gt;=0.4,"AMBER","RED"))</f>
        <v>RED</v>
      </c>
    </row>
    <row r="10" customFormat="false" ht="30" hidden="false" customHeight="true" outlineLevel="0" collapsed="false">
      <c r="B10" s="61" t="s">
        <v>233</v>
      </c>
      <c r="C10" s="62" t="s">
        <v>234</v>
      </c>
      <c r="D10" s="62" t="s">
        <v>128</v>
      </c>
      <c r="E10" s="62" t="s">
        <v>235</v>
      </c>
      <c r="F10" s="63" t="s">
        <v>162</v>
      </c>
      <c r="G10" s="61" t="str">
        <f aca="false">IF(I10&gt;=1,"GREEN",IF(I10&gt;=0.5,"AMBER","RED"))</f>
        <v>GREEN</v>
      </c>
      <c r="H10" s="62" t="s">
        <v>236</v>
      </c>
      <c r="I10" s="64" t="n">
        <v>1</v>
      </c>
      <c r="J10" s="65" t="n">
        <v>4</v>
      </c>
      <c r="K10" s="66" t="s">
        <v>145</v>
      </c>
      <c r="M10" s="30" t="s">
        <v>237</v>
      </c>
      <c r="N10" s="67" t="n">
        <f aca="false">IFERROR(AVERAGE(I20:I22),0)</f>
        <v>0.2</v>
      </c>
      <c r="O10" s="68" t="n">
        <f aca="false">SUMIFS(J20:J22,I20:I22,"&lt;1")</f>
        <v>17</v>
      </c>
      <c r="P10" s="69" t="str">
        <f aca="false">IF(N10&gt;=0.8,"GREEN",IF(N10&gt;=0.4,"AMBER","RED"))</f>
        <v>RED</v>
      </c>
    </row>
    <row r="11" customFormat="false" ht="30" hidden="false" customHeight="true" outlineLevel="0" collapsed="false">
      <c r="B11" s="61" t="s">
        <v>238</v>
      </c>
      <c r="C11" s="62" t="s">
        <v>239</v>
      </c>
      <c r="D11" s="62" t="s">
        <v>240</v>
      </c>
      <c r="E11" s="62" t="s">
        <v>241</v>
      </c>
      <c r="F11" s="63" t="s">
        <v>144</v>
      </c>
      <c r="G11" s="61" t="str">
        <f aca="false">IF(I11&gt;=1,"GREEN",IF(I11&gt;=0.5,"AMBER","RED"))</f>
        <v>GREEN</v>
      </c>
      <c r="H11" s="62" t="s">
        <v>242</v>
      </c>
      <c r="I11" s="64" t="n">
        <v>1</v>
      </c>
      <c r="J11" s="65" t="n">
        <v>2</v>
      </c>
      <c r="K11" s="66" t="s">
        <v>138</v>
      </c>
      <c r="M11" s="30" t="s">
        <v>243</v>
      </c>
      <c r="N11" s="67" t="n">
        <f aca="false">IFERROR(AVERAGE(I25:I27),0)</f>
        <v>0</v>
      </c>
      <c r="O11" s="68" t="n">
        <f aca="false">SUMIFS(J25:J27,I25:I27,"&lt;1")</f>
        <v>13</v>
      </c>
      <c r="P11" s="69" t="str">
        <f aca="false">IF(N11&gt;=0.8,"GREEN",IF(N11&gt;=0.4,"AMBER","RED"))</f>
        <v>RED</v>
      </c>
    </row>
    <row r="13" customFormat="false" ht="19.5" hidden="false" customHeight="true" outlineLevel="0" collapsed="false">
      <c r="B13" s="70" t="s">
        <v>244</v>
      </c>
      <c r="C13" s="70"/>
      <c r="D13" s="70"/>
      <c r="E13" s="70"/>
      <c r="F13" s="70"/>
      <c r="G13" s="70"/>
      <c r="H13" s="70"/>
      <c r="I13" s="70"/>
      <c r="J13" s="70"/>
    </row>
    <row r="14" customFormat="false" ht="30" hidden="false" customHeight="true" outlineLevel="0" collapsed="false">
      <c r="B14" s="61" t="s">
        <v>163</v>
      </c>
      <c r="C14" s="62" t="s">
        <v>245</v>
      </c>
      <c r="D14" s="62" t="s">
        <v>228</v>
      </c>
      <c r="E14" s="62" t="s">
        <v>246</v>
      </c>
      <c r="F14" s="63" t="s">
        <v>130</v>
      </c>
      <c r="G14" s="61" t="str">
        <f aca="false">IF(I14&gt;=1,"GREEN",IF(I14&gt;=0.5,"AMBER","RED"))</f>
        <v>RED</v>
      </c>
      <c r="H14" s="62" t="s">
        <v>247</v>
      </c>
      <c r="I14" s="64" t="n">
        <v>0.4</v>
      </c>
      <c r="J14" s="65" t="n">
        <v>8</v>
      </c>
      <c r="K14" s="66" t="s">
        <v>131</v>
      </c>
    </row>
    <row r="15" customFormat="false" ht="30" hidden="false" customHeight="true" outlineLevel="0" collapsed="false">
      <c r="B15" s="61" t="s">
        <v>168</v>
      </c>
      <c r="C15" s="62" t="s">
        <v>248</v>
      </c>
      <c r="D15" s="62" t="s">
        <v>240</v>
      </c>
      <c r="E15" s="62" t="s">
        <v>241</v>
      </c>
      <c r="F15" s="63" t="s">
        <v>249</v>
      </c>
      <c r="G15" s="61" t="str">
        <f aca="false">IF(I15&gt;=1,"GREEN",IF(I15&gt;=0.5,"AMBER","RED"))</f>
        <v>AMBER</v>
      </c>
      <c r="H15" s="62" t="s">
        <v>250</v>
      </c>
      <c r="I15" s="64" t="n">
        <v>0.5</v>
      </c>
      <c r="J15" s="65" t="n">
        <v>6</v>
      </c>
      <c r="K15" s="66" t="s">
        <v>138</v>
      </c>
    </row>
    <row r="16" customFormat="false" ht="30" hidden="false" customHeight="true" outlineLevel="0" collapsed="false">
      <c r="B16" s="61" t="s">
        <v>192</v>
      </c>
      <c r="C16" s="62" t="s">
        <v>251</v>
      </c>
      <c r="D16" s="62" t="s">
        <v>252</v>
      </c>
      <c r="E16" s="62" t="s">
        <v>253</v>
      </c>
      <c r="F16" s="63" t="s">
        <v>254</v>
      </c>
      <c r="G16" s="61" t="str">
        <f aca="false">IF(I16&gt;=1,"GREEN",IF(I16&gt;=0.5,"AMBER","RED"))</f>
        <v>RED</v>
      </c>
      <c r="H16" s="62" t="s">
        <v>255</v>
      </c>
      <c r="I16" s="64" t="n">
        <v>0.3</v>
      </c>
      <c r="J16" s="65" t="n">
        <v>5</v>
      </c>
      <c r="K16" s="66" t="s">
        <v>145</v>
      </c>
    </row>
    <row r="17" customFormat="false" ht="30" hidden="false" customHeight="true" outlineLevel="0" collapsed="false">
      <c r="B17" s="61" t="s">
        <v>196</v>
      </c>
      <c r="C17" s="62" t="s">
        <v>256</v>
      </c>
      <c r="D17" s="62" t="s">
        <v>122</v>
      </c>
      <c r="E17" s="62" t="s">
        <v>257</v>
      </c>
      <c r="F17" s="63" t="s">
        <v>151</v>
      </c>
      <c r="G17" s="61" t="str">
        <f aca="false">IF(I17&gt;=1,"GREEN",IF(I17&gt;=0.5,"AMBER","RED"))</f>
        <v>RED</v>
      </c>
      <c r="H17" s="62" t="s">
        <v>258</v>
      </c>
      <c r="I17" s="64" t="n">
        <v>0</v>
      </c>
      <c r="J17" s="65" t="n">
        <v>5</v>
      </c>
      <c r="K17" s="66" t="s">
        <v>125</v>
      </c>
    </row>
    <row r="19" customFormat="false" ht="19.5" hidden="false" customHeight="true" outlineLevel="0" collapsed="false">
      <c r="B19" s="71" t="s">
        <v>259</v>
      </c>
      <c r="C19" s="71"/>
      <c r="D19" s="71"/>
      <c r="E19" s="71"/>
      <c r="F19" s="71"/>
      <c r="G19" s="71"/>
      <c r="H19" s="71"/>
      <c r="I19" s="71"/>
      <c r="J19" s="71"/>
    </row>
    <row r="20" customFormat="false" ht="30" hidden="false" customHeight="true" outlineLevel="0" collapsed="false">
      <c r="B20" s="61" t="s">
        <v>260</v>
      </c>
      <c r="C20" s="62" t="s">
        <v>261</v>
      </c>
      <c r="D20" s="62" t="s">
        <v>135</v>
      </c>
      <c r="E20" s="62" t="s">
        <v>262</v>
      </c>
      <c r="F20" s="63" t="s">
        <v>172</v>
      </c>
      <c r="G20" s="61" t="str">
        <f aca="false">IF(I20&gt;=1,"GREEN",IF(I20&gt;=0.5,"AMBER","RED"))</f>
        <v>AMBER</v>
      </c>
      <c r="H20" s="62" t="s">
        <v>263</v>
      </c>
      <c r="I20" s="64" t="n">
        <v>0.6</v>
      </c>
      <c r="J20" s="65" t="n">
        <v>6</v>
      </c>
      <c r="K20" s="66" t="s">
        <v>125</v>
      </c>
    </row>
    <row r="21" customFormat="false" ht="30" hidden="false" customHeight="true" outlineLevel="0" collapsed="false">
      <c r="B21" s="61" t="s">
        <v>264</v>
      </c>
      <c r="C21" s="62" t="s">
        <v>265</v>
      </c>
      <c r="D21" s="62" t="s">
        <v>266</v>
      </c>
      <c r="E21" s="62" t="s">
        <v>267</v>
      </c>
      <c r="F21" s="63" t="s">
        <v>268</v>
      </c>
      <c r="G21" s="61" t="str">
        <f aca="false">IF(I21&gt;=1,"GREEN",IF(I21&gt;=0.5,"AMBER","RED"))</f>
        <v>RED</v>
      </c>
      <c r="H21" s="62" t="s">
        <v>269</v>
      </c>
      <c r="I21" s="64" t="n">
        <v>0</v>
      </c>
      <c r="J21" s="65" t="n">
        <v>5</v>
      </c>
      <c r="K21" s="66" t="s">
        <v>125</v>
      </c>
    </row>
    <row r="22" customFormat="false" ht="30" hidden="false" customHeight="true" outlineLevel="0" collapsed="false">
      <c r="B22" s="61" t="s">
        <v>270</v>
      </c>
      <c r="C22" s="62" t="s">
        <v>271</v>
      </c>
      <c r="D22" s="62" t="s">
        <v>272</v>
      </c>
      <c r="E22" s="62" t="s">
        <v>273</v>
      </c>
      <c r="F22" s="63" t="s">
        <v>274</v>
      </c>
      <c r="G22" s="61" t="str">
        <f aca="false">IF(I22&gt;=1,"GREEN",IF(I22&gt;=0.5,"AMBER","RED"))</f>
        <v>RED</v>
      </c>
      <c r="H22" s="62" t="s">
        <v>275</v>
      </c>
      <c r="I22" s="64" t="n">
        <v>0</v>
      </c>
      <c r="J22" s="65" t="n">
        <v>6</v>
      </c>
      <c r="K22" s="66" t="s">
        <v>131</v>
      </c>
    </row>
    <row r="24" customFormat="false" ht="19.5" hidden="false" customHeight="true" outlineLevel="0" collapsed="false">
      <c r="B24" s="34" t="s">
        <v>276</v>
      </c>
      <c r="C24" s="34"/>
      <c r="D24" s="34"/>
      <c r="E24" s="34"/>
      <c r="F24" s="34"/>
      <c r="G24" s="34"/>
      <c r="H24" s="34"/>
      <c r="I24" s="34"/>
      <c r="J24" s="34"/>
    </row>
    <row r="25" customFormat="false" ht="30" hidden="false" customHeight="true" outlineLevel="0" collapsed="false">
      <c r="B25" s="61" t="s">
        <v>277</v>
      </c>
      <c r="C25" s="62" t="s">
        <v>278</v>
      </c>
      <c r="D25" s="62" t="s">
        <v>194</v>
      </c>
      <c r="E25" s="62" t="s">
        <v>279</v>
      </c>
      <c r="F25" s="63" t="s">
        <v>280</v>
      </c>
      <c r="G25" s="61" t="str">
        <f aca="false">IF(I25&gt;=1,"GREEN",IF(I25&gt;=0.5,"AMBER","RED"))</f>
        <v>RED</v>
      </c>
      <c r="H25" s="62" t="s">
        <v>281</v>
      </c>
      <c r="I25" s="64" t="n">
        <v>0</v>
      </c>
      <c r="J25" s="65" t="n">
        <v>5</v>
      </c>
      <c r="K25" s="66" t="s">
        <v>145</v>
      </c>
    </row>
    <row r="26" customFormat="false" ht="30" hidden="false" customHeight="true" outlineLevel="0" collapsed="false">
      <c r="B26" s="61" t="s">
        <v>282</v>
      </c>
      <c r="C26" s="62" t="s">
        <v>283</v>
      </c>
      <c r="D26" s="62" t="s">
        <v>284</v>
      </c>
      <c r="E26" s="62" t="s">
        <v>285</v>
      </c>
      <c r="F26" s="63" t="s">
        <v>286</v>
      </c>
      <c r="G26" s="61" t="str">
        <f aca="false">IF(I26&gt;=1,"GREEN",IF(I26&gt;=0.5,"AMBER","RED"))</f>
        <v>RED</v>
      </c>
      <c r="H26" s="62" t="s">
        <v>287</v>
      </c>
      <c r="I26" s="64" t="n">
        <v>0</v>
      </c>
      <c r="J26" s="65" t="n">
        <v>4</v>
      </c>
      <c r="K26" s="66" t="s">
        <v>131</v>
      </c>
    </row>
    <row r="27" customFormat="false" ht="30" hidden="false" customHeight="true" outlineLevel="0" collapsed="false">
      <c r="B27" s="61" t="s">
        <v>288</v>
      </c>
      <c r="C27" s="62" t="s">
        <v>289</v>
      </c>
      <c r="D27" s="62" t="s">
        <v>128</v>
      </c>
      <c r="E27" s="62" t="s">
        <v>290</v>
      </c>
      <c r="F27" s="63" t="s">
        <v>291</v>
      </c>
      <c r="G27" s="61" t="str">
        <f aca="false">IF(I27&gt;=1,"GREEN",IF(I27&gt;=0.5,"AMBER","RED"))</f>
        <v>RED</v>
      </c>
      <c r="H27" s="62" t="s">
        <v>292</v>
      </c>
      <c r="I27" s="64" t="n">
        <v>0</v>
      </c>
      <c r="J27" s="65" t="n">
        <v>4</v>
      </c>
      <c r="K27" s="66" t="s">
        <v>293</v>
      </c>
    </row>
    <row r="29" customFormat="false" ht="25.5" hidden="false" customHeight="true" outlineLevel="0" collapsed="false">
      <c r="B29" s="72" t="s">
        <v>294</v>
      </c>
      <c r="C29" s="72"/>
      <c r="D29" s="72"/>
      <c r="E29" s="72"/>
      <c r="F29" s="72"/>
      <c r="G29" s="72"/>
      <c r="H29" s="72"/>
      <c r="I29" s="72"/>
      <c r="J29" s="72"/>
    </row>
  </sheetData>
  <mergeCells count="8">
    <mergeCell ref="A1:K1"/>
    <mergeCell ref="A2:K2"/>
    <mergeCell ref="M6:P6"/>
    <mergeCell ref="B7:J7"/>
    <mergeCell ref="B13:J13"/>
    <mergeCell ref="B19:J19"/>
    <mergeCell ref="B24:J24"/>
    <mergeCell ref="B29:J29"/>
  </mergeCells>
  <conditionalFormatting sqref="G8:G27">
    <cfRule type="cellIs" priority="2" operator="equal" aboveAverage="0" equalAverage="0" bottom="0" percent="0" rank="0" text="" dxfId="12">
      <formula>"RED"</formula>
    </cfRule>
    <cfRule type="cellIs" priority="3" operator="equal" aboveAverage="0" equalAverage="0" bottom="0" percent="0" rank="0" text="" dxfId="20">
      <formula>"AMBER"</formula>
    </cfRule>
    <cfRule type="cellIs" priority="4" operator="equal" aboveAverage="0" equalAverage="0" bottom="0" percent="0" rank="0" text="" dxfId="15">
      <formula>"GREEN"</formula>
    </cfRule>
  </conditionalFormatting>
  <conditionalFormatting sqref="P8:P11">
    <cfRule type="cellIs" priority="5" operator="equal" aboveAverage="0" equalAverage="0" bottom="0" percent="0" rank="0" text="" dxfId="21">
      <formula>"RED"</formula>
    </cfRule>
    <cfRule type="cellIs" priority="6" operator="equal" aboveAverage="0" equalAverage="0" bottom="0" percent="0" rank="0" text="" dxfId="22">
      <formula>"AMBER"</formula>
    </cfRule>
    <cfRule type="cellIs" priority="7" operator="equal" aboveAverage="0" equalAverage="0" bottom="0" percent="0" rank="0" text="" dxfId="23">
      <formula>"GREEN"</formula>
    </cfRule>
  </conditionalFormatting>
  <conditionalFormatting sqref="G8:G200">
    <cfRule type="cellIs" priority="8" operator="equal" aboveAverage="0" equalAverage="0" bottom="0" percent="0" rank="0" text="" dxfId="12">
      <formula>"RED"</formula>
    </cfRule>
    <cfRule type="cellIs" priority="9" operator="equal" aboveAverage="0" equalAverage="0" bottom="0" percent="0" rank="0" text="" dxfId="20">
      <formula>"AMBER"</formula>
    </cfRule>
    <cfRule type="cellIs" priority="10" operator="equal" aboveAverage="0" equalAverage="0" bottom="0" percent="0" rank="0" text="" dxfId="15">
      <formula>"GREEN"</formula>
    </cfRule>
  </conditionalFormatting>
  <dataValidations count="3">
    <dataValidation allowBlank="true" errorStyle="stop" operator="between" showDropDown="false" showErrorMessage="false" showInputMessage="false" sqref="I8:I200" type="decimal">
      <formula1>0</formula1>
      <formula2>1</formula2>
    </dataValidation>
    <dataValidation allowBlank="true" errorStyle="stop" operator="between" showDropDown="false" showErrorMessage="false" showInputMessage="false" sqref="K8:K200" type="list">
      <formula1>"Hero Dependency,Death By Governance,Nobody Wants To Decide,Silent Resistance,Builder Culture"</formula1>
      <formula2>0</formula2>
    </dataValidation>
    <dataValidation allowBlank="true" errorStyle="stop" operator="between" showDropDown="false" showErrorMessage="false" showInputMessage="false" sqref="G8:G200" type="list">
      <formula1>"RED,AMBER,GREEN,Done"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0"/>
    <col collapsed="false" customWidth="true" hidden="false" outlineLevel="0" max="3" min="3" style="1" width="14"/>
    <col collapsed="false" customWidth="true" hidden="false" outlineLevel="0" max="4" min="4" style="1" width="12"/>
    <col collapsed="false" customWidth="true" hidden="false" outlineLevel="0" max="5" min="5" style="1" width="40"/>
  </cols>
  <sheetData>
    <row r="1" customFormat="false" ht="30" hidden="false" customHeight="true" outlineLevel="0" collapsed="false">
      <c r="A1" s="2" t="s">
        <v>295</v>
      </c>
      <c r="B1" s="2"/>
      <c r="C1" s="2"/>
      <c r="D1" s="2"/>
      <c r="E1" s="2"/>
    </row>
    <row r="2" customFormat="false" ht="15" hidden="false" customHeight="true" outlineLevel="0" collapsed="false">
      <c r="A2" s="3" t="s">
        <v>296</v>
      </c>
      <c r="B2" s="3"/>
      <c r="C2" s="3"/>
      <c r="D2" s="3"/>
      <c r="E2" s="3"/>
    </row>
    <row r="3" customFormat="false" ht="3" hidden="false" customHeight="true" outlineLevel="0" collapsed="false">
      <c r="A3" s="4"/>
      <c r="B3" s="4"/>
      <c r="C3" s="4"/>
      <c r="D3" s="4"/>
      <c r="E3" s="4"/>
    </row>
    <row r="4" customFormat="false" ht="15" hidden="false" customHeight="true" outlineLevel="0" collapsed="false">
      <c r="B4" s="73" t="s">
        <v>297</v>
      </c>
      <c r="C4" s="73"/>
      <c r="D4" s="73"/>
      <c r="E4" s="73"/>
    </row>
    <row r="6" customFormat="false" ht="15" hidden="false" customHeight="true" outlineLevel="0" collapsed="false">
      <c r="B6" s="14" t="s">
        <v>298</v>
      </c>
      <c r="C6" s="14" t="s">
        <v>36</v>
      </c>
      <c r="D6" s="14" t="s">
        <v>299</v>
      </c>
      <c r="E6" s="14" t="s">
        <v>300</v>
      </c>
    </row>
    <row r="7" customFormat="false" ht="19.5" hidden="false" customHeight="true" outlineLevel="0" collapsed="false">
      <c r="B7" s="9" t="s">
        <v>301</v>
      </c>
      <c r="C7" s="9"/>
      <c r="D7" s="9"/>
      <c r="E7" s="9"/>
    </row>
    <row r="8" customFormat="false" ht="15" hidden="false" customHeight="true" outlineLevel="0" collapsed="false">
      <c r="B8" s="15" t="s">
        <v>302</v>
      </c>
      <c r="C8" s="74" t="n">
        <v>0.55</v>
      </c>
      <c r="D8" s="16" t="n">
        <v>1</v>
      </c>
      <c r="E8" s="42"/>
    </row>
    <row r="9" customFormat="false" ht="21.75" hidden="false" customHeight="true" outlineLevel="0" collapsed="false">
      <c r="B9" s="15" t="s">
        <v>303</v>
      </c>
      <c r="C9" s="74" t="n">
        <v>0.4</v>
      </c>
      <c r="D9" s="16" t="n">
        <v>1</v>
      </c>
      <c r="E9" s="42"/>
    </row>
    <row r="10" customFormat="false" ht="15" hidden="false" customHeight="true" outlineLevel="0" collapsed="false">
      <c r="B10" s="15" t="s">
        <v>304</v>
      </c>
      <c r="C10" s="74" t="n">
        <v>0.3</v>
      </c>
      <c r="D10" s="16" t="n">
        <v>1</v>
      </c>
      <c r="E10" s="42"/>
    </row>
    <row r="11" customFormat="false" ht="21.75" hidden="false" customHeight="true" outlineLevel="0" collapsed="false">
      <c r="B11" s="75" t="s">
        <v>305</v>
      </c>
      <c r="C11" s="76" t="n">
        <f aca="false">AVERAGE(C8:C10)</f>
        <v>0.416666666666667</v>
      </c>
      <c r="D11" s="77"/>
      <c r="E11" s="77"/>
    </row>
    <row r="12" customFormat="false" ht="19.5" hidden="false" customHeight="true" outlineLevel="0" collapsed="false">
      <c r="B12" s="9" t="s">
        <v>306</v>
      </c>
      <c r="C12" s="9"/>
      <c r="D12" s="9"/>
      <c r="E12" s="9"/>
    </row>
    <row r="13" customFormat="false" ht="21.75" hidden="false" customHeight="true" outlineLevel="0" collapsed="false">
      <c r="B13" s="15" t="s">
        <v>307</v>
      </c>
      <c r="C13" s="74" t="n">
        <v>0.7</v>
      </c>
      <c r="D13" s="16" t="n">
        <v>1</v>
      </c>
      <c r="E13" s="42"/>
    </row>
    <row r="14" customFormat="false" ht="15" hidden="false" customHeight="true" outlineLevel="0" collapsed="false">
      <c r="B14" s="15" t="s">
        <v>308</v>
      </c>
      <c r="C14" s="74" t="n">
        <v>0.45</v>
      </c>
      <c r="D14" s="16" t="n">
        <v>1</v>
      </c>
      <c r="E14" s="42"/>
    </row>
    <row r="15" customFormat="false" ht="15" hidden="false" customHeight="true" outlineLevel="0" collapsed="false">
      <c r="B15" s="15" t="s">
        <v>309</v>
      </c>
      <c r="C15" s="74" t="n">
        <v>0.2</v>
      </c>
      <c r="D15" s="16" t="n">
        <v>1</v>
      </c>
      <c r="E15" s="42"/>
    </row>
    <row r="16" customFormat="false" ht="15" hidden="false" customHeight="true" outlineLevel="0" collapsed="false">
      <c r="B16" s="75" t="s">
        <v>310</v>
      </c>
      <c r="C16" s="76" t="n">
        <f aca="false">AVERAGE(C13:C15)</f>
        <v>0.45</v>
      </c>
      <c r="D16" s="77"/>
      <c r="E16" s="77"/>
    </row>
    <row r="17" customFormat="false" ht="19.5" hidden="false" customHeight="true" outlineLevel="0" collapsed="false">
      <c r="B17" s="9" t="s">
        <v>311</v>
      </c>
      <c r="C17" s="9"/>
      <c r="D17" s="9"/>
      <c r="E17" s="9"/>
    </row>
    <row r="18" customFormat="false" ht="15" hidden="false" customHeight="true" outlineLevel="0" collapsed="false">
      <c r="B18" s="15" t="s">
        <v>312</v>
      </c>
      <c r="C18" s="74" t="n">
        <v>0.6</v>
      </c>
      <c r="D18" s="16" t="n">
        <v>1</v>
      </c>
      <c r="E18" s="42"/>
    </row>
    <row r="19" customFormat="false" ht="21.75" hidden="false" customHeight="true" outlineLevel="0" collapsed="false">
      <c r="B19" s="15" t="s">
        <v>313</v>
      </c>
      <c r="C19" s="74" t="n">
        <v>0.3</v>
      </c>
      <c r="D19" s="16" t="n">
        <v>1</v>
      </c>
      <c r="E19" s="42"/>
    </row>
    <row r="20" customFormat="false" ht="15" hidden="false" customHeight="true" outlineLevel="0" collapsed="false">
      <c r="B20" s="15" t="s">
        <v>314</v>
      </c>
      <c r="C20" s="74" t="n">
        <v>0.5</v>
      </c>
      <c r="D20" s="16" t="n">
        <v>1</v>
      </c>
      <c r="E20" s="42"/>
    </row>
    <row r="21" customFormat="false" ht="15" hidden="false" customHeight="true" outlineLevel="0" collapsed="false">
      <c r="B21" s="75" t="s">
        <v>315</v>
      </c>
      <c r="C21" s="76" t="n">
        <f aca="false">AVERAGE(C18:C20)</f>
        <v>0.466666666666667</v>
      </c>
      <c r="D21" s="77"/>
      <c r="E21" s="77"/>
    </row>
    <row r="22" customFormat="false" ht="19.5" hidden="false" customHeight="true" outlineLevel="0" collapsed="false">
      <c r="B22" s="9" t="s">
        <v>316</v>
      </c>
      <c r="C22" s="9"/>
      <c r="D22" s="9"/>
      <c r="E22" s="9"/>
    </row>
    <row r="23" customFormat="false" ht="15" hidden="false" customHeight="true" outlineLevel="0" collapsed="false">
      <c r="B23" s="15" t="s">
        <v>317</v>
      </c>
      <c r="C23" s="74" t="n">
        <v>0.35</v>
      </c>
      <c r="D23" s="16" t="n">
        <v>1</v>
      </c>
      <c r="E23" s="42"/>
    </row>
    <row r="24" customFormat="false" ht="15" hidden="false" customHeight="true" outlineLevel="0" collapsed="false">
      <c r="B24" s="15" t="s">
        <v>318</v>
      </c>
      <c r="C24" s="74" t="n">
        <v>0.25</v>
      </c>
      <c r="D24" s="16" t="n">
        <v>1</v>
      </c>
      <c r="E24" s="42"/>
    </row>
    <row r="25" customFormat="false" ht="15" hidden="false" customHeight="true" outlineLevel="0" collapsed="false">
      <c r="B25" s="15" t="s">
        <v>319</v>
      </c>
      <c r="C25" s="74" t="n">
        <v>0.4</v>
      </c>
      <c r="D25" s="16" t="n">
        <v>1</v>
      </c>
      <c r="E25" s="42"/>
    </row>
    <row r="26" customFormat="false" ht="15" hidden="false" customHeight="true" outlineLevel="0" collapsed="false">
      <c r="B26" s="75" t="s">
        <v>320</v>
      </c>
      <c r="C26" s="76" t="n">
        <f aca="false">AVERAGE(C23:C25)</f>
        <v>0.333333333333333</v>
      </c>
      <c r="D26" s="77"/>
      <c r="E26" s="77"/>
    </row>
    <row r="27" customFormat="false" ht="19.5" hidden="false" customHeight="true" outlineLevel="0" collapsed="false">
      <c r="B27" s="9" t="s">
        <v>321</v>
      </c>
      <c r="C27" s="9"/>
      <c r="D27" s="9"/>
      <c r="E27" s="9"/>
    </row>
    <row r="28" customFormat="false" ht="15" hidden="false" customHeight="true" outlineLevel="0" collapsed="false">
      <c r="B28" s="15" t="s">
        <v>322</v>
      </c>
      <c r="C28" s="74" t="n">
        <v>0.65</v>
      </c>
      <c r="D28" s="16" t="n">
        <v>1</v>
      </c>
      <c r="E28" s="42"/>
    </row>
    <row r="29" customFormat="false" ht="15" hidden="false" customHeight="true" outlineLevel="0" collapsed="false">
      <c r="B29" s="15" t="s">
        <v>323</v>
      </c>
      <c r="C29" s="74" t="n">
        <v>0.7</v>
      </c>
      <c r="D29" s="16" t="n">
        <v>1</v>
      </c>
      <c r="E29" s="42"/>
    </row>
    <row r="30" customFormat="false" ht="15" hidden="false" customHeight="true" outlineLevel="0" collapsed="false">
      <c r="B30" s="15" t="s">
        <v>324</v>
      </c>
      <c r="C30" s="74" t="n">
        <v>0.45</v>
      </c>
      <c r="D30" s="16" t="n">
        <v>1</v>
      </c>
      <c r="E30" s="42"/>
    </row>
    <row r="31" customFormat="false" ht="21.75" hidden="false" customHeight="true" outlineLevel="0" collapsed="false">
      <c r="B31" s="75" t="s">
        <v>325</v>
      </c>
      <c r="C31" s="76" t="n">
        <f aca="false">AVERAGE(C28:C30)</f>
        <v>0.6</v>
      </c>
      <c r="D31" s="77"/>
      <c r="E31" s="77"/>
    </row>
    <row r="33" customFormat="false" ht="19.5" hidden="false" customHeight="true" outlineLevel="0" collapsed="false">
      <c r="B33" s="78" t="s">
        <v>326</v>
      </c>
      <c r="C33" s="78"/>
      <c r="D33" s="78"/>
      <c r="E33" s="78"/>
    </row>
    <row r="34" customFormat="false" ht="17.25" hidden="false" customHeight="true" outlineLevel="0" collapsed="false">
      <c r="B34" s="79" t="s">
        <v>327</v>
      </c>
      <c r="C34" s="80" t="n">
        <f aca="false">AVERAGE(C11,C16,C21,C26,C31)</f>
        <v>0.453333333333333</v>
      </c>
    </row>
  </sheetData>
  <mergeCells count="10">
    <mergeCell ref="A1:E1"/>
    <mergeCell ref="A2:E2"/>
    <mergeCell ref="A3:E3"/>
    <mergeCell ref="B4:E4"/>
    <mergeCell ref="B7:E7"/>
    <mergeCell ref="B12:E12"/>
    <mergeCell ref="B17:E17"/>
    <mergeCell ref="B22:E22"/>
    <mergeCell ref="B27:E27"/>
    <mergeCell ref="B33:E33"/>
  </mergeCells>
  <conditionalFormatting sqref="C7:C32">
    <cfRule type="cellIs" priority="2" operator="lessThan" aboveAverage="0" equalAverage="0" bottom="0" percent="0" rank="0" text="" dxfId="24">
      <formula>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4"/>
    <col collapsed="false" customWidth="true" hidden="false" outlineLevel="0" max="3" min="3" style="1" width="20"/>
    <col collapsed="false" customWidth="true" hidden="false" outlineLevel="0" max="7" min="4" style="1" width="13"/>
    <col collapsed="false" customWidth="true" hidden="false" outlineLevel="0" max="8" min="8" style="1" width="28"/>
    <col collapsed="false" customWidth="true" hidden="false" outlineLevel="0" max="9" min="9" style="1" width="20"/>
  </cols>
  <sheetData>
    <row r="1" customFormat="false" ht="30" hidden="false" customHeight="true" outlineLevel="0" collapsed="false">
      <c r="A1" s="2" t="s">
        <v>328</v>
      </c>
      <c r="B1" s="2"/>
      <c r="C1" s="2"/>
      <c r="D1" s="2"/>
      <c r="E1" s="2"/>
      <c r="F1" s="2"/>
      <c r="G1" s="2"/>
      <c r="H1" s="2"/>
    </row>
    <row r="2" customFormat="false" ht="15" hidden="false" customHeight="true" outlineLevel="0" collapsed="false">
      <c r="A2" s="3" t="s">
        <v>329</v>
      </c>
      <c r="B2" s="3"/>
      <c r="C2" s="3"/>
      <c r="D2" s="3"/>
      <c r="E2" s="3"/>
      <c r="F2" s="3"/>
      <c r="G2" s="3"/>
      <c r="H2" s="3"/>
    </row>
    <row r="3" customFormat="false" ht="3" hidden="false" customHeight="true" outlineLevel="0" collapsed="false">
      <c r="A3" s="4"/>
      <c r="B3" s="4"/>
      <c r="C3" s="4"/>
      <c r="D3" s="4"/>
      <c r="E3" s="4"/>
      <c r="F3" s="4"/>
      <c r="G3" s="4"/>
      <c r="H3" s="4"/>
    </row>
    <row r="4" customFormat="false" ht="15" hidden="false" customHeight="true" outlineLevel="0" collapsed="false">
      <c r="B4" s="5" t="s">
        <v>330</v>
      </c>
      <c r="C4" s="81" t="n">
        <f aca="false">IFERROR(AVERAGE(F6:F100),0)</f>
        <v>0.55</v>
      </c>
      <c r="E4" s="5" t="s">
        <v>331</v>
      </c>
      <c r="F4" s="82" t="n">
        <f aca="false">COUNTIF(E6:E100,"Champion")</f>
        <v>1</v>
      </c>
      <c r="G4" s="5" t="s">
        <v>332</v>
      </c>
      <c r="H4" s="83" t="n">
        <f aca="false">COUNTIF(E6:E100,"Resistant")</f>
        <v>2</v>
      </c>
    </row>
    <row r="5" customFormat="false" ht="15" hidden="false" customHeight="true" outlineLevel="0" collapsed="false">
      <c r="B5" s="14" t="s">
        <v>333</v>
      </c>
      <c r="C5" s="14" t="s">
        <v>334</v>
      </c>
      <c r="D5" s="14" t="s">
        <v>335</v>
      </c>
      <c r="E5" s="14" t="s">
        <v>336</v>
      </c>
      <c r="F5" s="14" t="s">
        <v>337</v>
      </c>
      <c r="G5" s="14" t="s">
        <v>22</v>
      </c>
      <c r="H5" s="14" t="s">
        <v>338</v>
      </c>
      <c r="I5" s="40" t="s">
        <v>114</v>
      </c>
    </row>
    <row r="6" customFormat="false" ht="21.75" hidden="false" customHeight="true" outlineLevel="0" collapsed="false">
      <c r="B6" s="42" t="s">
        <v>339</v>
      </c>
      <c r="C6" s="42" t="s">
        <v>340</v>
      </c>
      <c r="D6" s="16" t="s">
        <v>119</v>
      </c>
      <c r="E6" s="16" t="s">
        <v>332</v>
      </c>
      <c r="F6" s="74" t="n">
        <v>0.35</v>
      </c>
      <c r="G6" s="16" t="s">
        <v>341</v>
      </c>
      <c r="H6" s="42" t="s">
        <v>342</v>
      </c>
      <c r="I6" s="44" t="s">
        <v>125</v>
      </c>
    </row>
    <row r="7" customFormat="false" ht="15" hidden="false" customHeight="true" outlineLevel="0" collapsed="false">
      <c r="B7" s="42" t="s">
        <v>343</v>
      </c>
      <c r="C7" s="42" t="s">
        <v>344</v>
      </c>
      <c r="D7" s="16" t="s">
        <v>119</v>
      </c>
      <c r="E7" s="16" t="s">
        <v>345</v>
      </c>
      <c r="F7" s="74" t="n">
        <v>0.55</v>
      </c>
      <c r="G7" s="16" t="s">
        <v>346</v>
      </c>
      <c r="H7" s="42" t="s">
        <v>347</v>
      </c>
      <c r="I7" s="44" t="s">
        <v>125</v>
      </c>
    </row>
    <row r="8" customFormat="false" ht="15" hidden="false" customHeight="true" outlineLevel="0" collapsed="false">
      <c r="B8" s="42" t="s">
        <v>160</v>
      </c>
      <c r="C8" s="42" t="s">
        <v>142</v>
      </c>
      <c r="D8" s="16" t="s">
        <v>119</v>
      </c>
      <c r="E8" s="16" t="s">
        <v>348</v>
      </c>
      <c r="F8" s="74" t="n">
        <v>0.9</v>
      </c>
      <c r="G8" s="16" t="s">
        <v>346</v>
      </c>
      <c r="H8" s="42" t="s">
        <v>349</v>
      </c>
      <c r="I8" s="44" t="s">
        <v>131</v>
      </c>
    </row>
    <row r="9" customFormat="false" ht="21.75" hidden="false" customHeight="true" outlineLevel="0" collapsed="false">
      <c r="B9" s="42" t="s">
        <v>350</v>
      </c>
      <c r="C9" s="42" t="s">
        <v>340</v>
      </c>
      <c r="D9" s="16" t="s">
        <v>134</v>
      </c>
      <c r="E9" s="16" t="s">
        <v>332</v>
      </c>
      <c r="F9" s="74" t="n">
        <v>0.4</v>
      </c>
      <c r="G9" s="16" t="s">
        <v>351</v>
      </c>
      <c r="H9" s="42" t="s">
        <v>352</v>
      </c>
      <c r="I9" s="44" t="s">
        <v>293</v>
      </c>
    </row>
    <row r="10" customFormat="false" ht="15" hidden="false" customHeight="true" outlineLevel="0" collapsed="false">
      <c r="B10" s="42" t="s">
        <v>353</v>
      </c>
      <c r="C10" s="42" t="s">
        <v>354</v>
      </c>
      <c r="D10" s="16" t="s">
        <v>134</v>
      </c>
      <c r="E10" s="16" t="s">
        <v>345</v>
      </c>
      <c r="F10" s="74" t="n">
        <v>0.6</v>
      </c>
      <c r="G10" s="16" t="s">
        <v>346</v>
      </c>
      <c r="H10" s="42" t="s">
        <v>355</v>
      </c>
      <c r="I10" s="44" t="s">
        <v>145</v>
      </c>
    </row>
    <row r="11" customFormat="false" ht="21.75" hidden="false" customHeight="true" outlineLevel="0" collapsed="false">
      <c r="B11" s="42" t="s">
        <v>356</v>
      </c>
      <c r="C11" s="42" t="s">
        <v>357</v>
      </c>
      <c r="D11" s="16" t="s">
        <v>119</v>
      </c>
      <c r="E11" s="16" t="s">
        <v>345</v>
      </c>
      <c r="F11" s="74" t="n">
        <v>0.5</v>
      </c>
      <c r="G11" s="16" t="s">
        <v>341</v>
      </c>
      <c r="H11" s="42" t="s">
        <v>358</v>
      </c>
    </row>
    <row r="12" customFormat="false" ht="15" hidden="false" customHeight="true" outlineLevel="0" collapsed="false">
      <c r="B12" s="46"/>
      <c r="C12" s="46"/>
      <c r="D12" s="46"/>
      <c r="E12" s="46"/>
      <c r="F12" s="84"/>
      <c r="G12" s="46"/>
      <c r="H12" s="46"/>
    </row>
    <row r="13" customFormat="false" ht="15" hidden="false" customHeight="true" outlineLevel="0" collapsed="false">
      <c r="B13" s="46"/>
      <c r="C13" s="46"/>
      <c r="D13" s="46"/>
      <c r="E13" s="46"/>
      <c r="F13" s="84"/>
      <c r="G13" s="46"/>
      <c r="H13" s="46"/>
    </row>
    <row r="14" customFormat="false" ht="15" hidden="false" customHeight="true" outlineLevel="0" collapsed="false">
      <c r="B14" s="46"/>
      <c r="C14" s="46"/>
      <c r="D14" s="46"/>
      <c r="E14" s="46"/>
      <c r="F14" s="84"/>
      <c r="G14" s="46"/>
      <c r="H14" s="46"/>
    </row>
    <row r="15" customFormat="false" ht="15" hidden="false" customHeight="true" outlineLevel="0" collapsed="false">
      <c r="B15" s="46"/>
      <c r="C15" s="46"/>
      <c r="D15" s="46"/>
      <c r="E15" s="46"/>
      <c r="F15" s="84"/>
      <c r="G15" s="46"/>
      <c r="H15" s="46"/>
    </row>
    <row r="16" customFormat="false" ht="15" hidden="false" customHeight="true" outlineLevel="0" collapsed="false">
      <c r="B16" s="46"/>
      <c r="C16" s="46"/>
      <c r="D16" s="46"/>
      <c r="E16" s="46"/>
      <c r="F16" s="84"/>
      <c r="G16" s="46"/>
      <c r="H16" s="46"/>
    </row>
    <row r="17" customFormat="false" ht="15" hidden="false" customHeight="true" outlineLevel="0" collapsed="false">
      <c r="B17" s="46"/>
      <c r="C17" s="46"/>
      <c r="D17" s="46"/>
      <c r="E17" s="46"/>
      <c r="F17" s="84"/>
      <c r="G17" s="46"/>
      <c r="H17" s="46"/>
    </row>
    <row r="18" customFormat="false" ht="15" hidden="false" customHeight="true" outlineLevel="0" collapsed="false">
      <c r="B18" s="46"/>
      <c r="C18" s="46"/>
      <c r="D18" s="46"/>
      <c r="E18" s="46"/>
      <c r="F18" s="84"/>
      <c r="G18" s="46"/>
      <c r="H18" s="46"/>
    </row>
    <row r="19" customFormat="false" ht="15" hidden="false" customHeight="true" outlineLevel="0" collapsed="false">
      <c r="B19" s="46"/>
      <c r="C19" s="46"/>
      <c r="D19" s="46"/>
      <c r="E19" s="46"/>
      <c r="F19" s="84"/>
      <c r="G19" s="46"/>
      <c r="H19" s="46"/>
    </row>
    <row r="20" customFormat="false" ht="15" hidden="false" customHeight="true" outlineLevel="0" collapsed="false">
      <c r="B20" s="46"/>
      <c r="C20" s="46"/>
      <c r="D20" s="46"/>
      <c r="E20" s="46"/>
      <c r="F20" s="84"/>
      <c r="G20" s="46"/>
      <c r="H20" s="46"/>
    </row>
    <row r="21" customFormat="false" ht="15" hidden="false" customHeight="true" outlineLevel="0" collapsed="false">
      <c r="B21" s="46"/>
      <c r="C21" s="46"/>
      <c r="D21" s="46"/>
      <c r="E21" s="46"/>
      <c r="F21" s="84"/>
      <c r="G21" s="46"/>
      <c r="H21" s="46"/>
    </row>
  </sheetData>
  <mergeCells count="3">
    <mergeCell ref="A1:H1"/>
    <mergeCell ref="A2:H2"/>
    <mergeCell ref="A3:H3"/>
  </mergeCells>
  <conditionalFormatting sqref="E6:E21">
    <cfRule type="cellIs" priority="2" operator="equal" aboveAverage="0" equalAverage="0" bottom="0" percent="0" rank="0" text="" dxfId="15">
      <formula>"Champion"</formula>
    </cfRule>
    <cfRule type="cellIs" priority="3" operator="equal" aboveAverage="0" equalAverage="0" bottom="0" percent="0" rank="0" text="" dxfId="14">
      <formula>"Passive"</formula>
    </cfRule>
    <cfRule type="cellIs" priority="4" operator="equal" aboveAverage="0" equalAverage="0" bottom="0" percent="0" rank="0" text="" dxfId="12">
      <formula>"Resistant"</formula>
    </cfRule>
  </conditionalFormatting>
  <conditionalFormatting sqref="F6:F21">
    <cfRule type="dataBar" priority="5">
      <dataBar showValue="1" minLength="10" maxLength="90">
        <cfvo type="num" val="0"/>
        <cfvo type="num" val="1"/>
        <color rgb="FF2E9E5B"/>
      </dataBar>
      <extLst>
        <ext xmlns:x14="http://schemas.microsoft.com/office/spreadsheetml/2009/9/main" uri="{B025F937-C7B1-47D3-B67F-A62EFF666E3E}">
          <x14:id>{7FEC3E41-00BC-49DD-8E20-1013ABDCFB79}</x14:id>
        </ext>
      </extLst>
    </cfRule>
  </conditionalFormatting>
  <dataValidations count="4">
    <dataValidation allowBlank="true" errorStyle="stop" operator="between" showDropDown="false" showErrorMessage="false" showInputMessage="false" sqref="D6:D21" type="list">
      <formula1>"Low,Medium,High"</formula1>
      <formula2>0</formula2>
    </dataValidation>
    <dataValidation allowBlank="true" errorStyle="stop" operator="between" showDropDown="false" showErrorMessage="false" showInputMessage="false" sqref="E6:E21" type="list">
      <formula1>"Champion,Passive,Resistant"</formula1>
      <formula2>0</formula2>
    </dataValidation>
    <dataValidation allowBlank="true" errorStyle="stop" operator="between" showDropDown="false" showErrorMessage="false" showInputMessage="false" sqref="G6:G21" type="list">
      <formula1>"up,flat,down"</formula1>
      <formula2>0</formula2>
    </dataValidation>
    <dataValidation allowBlank="true" errorStyle="stop" operator="between" showDropDown="false" showErrorMessage="false" showInputMessage="false" sqref="I6:I100" type="list">
      <formula1>"Hero Dependency,Death By Governance,Nobody Wants To Decide,Silent Resistance,Builder Culture"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7FEC3E41-00BC-49DD-8E20-1013ABDCFB79}">
            <x14:dataBar minLength="10" maxLength="90" axisPosition="none" gradient="true">
              <x14:cfvo type="num">
                <xm:f>0</xm:f>
              </x14:cfvo>
              <x14:cfvo type="num">
                <xm:f>1</xm:f>
              </x14:cfvo>
              <x14:negativeFillColor rgb="FF2E9E5B"/>
              <x14:axisColor rgb="FF000000"/>
            </x14:dataBar>
          </x14:cfRule>
          <xm:sqref>F6:F21</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0"/>
    <col collapsed="false" customWidth="true" hidden="false" outlineLevel="0" max="3" min="3" style="1" width="50"/>
    <col collapsed="false" customWidth="true" hidden="false" outlineLevel="0" max="4" min="4" style="1" width="18"/>
  </cols>
  <sheetData>
    <row r="1" customFormat="false" ht="30" hidden="false" customHeight="true" outlineLevel="0" collapsed="false">
      <c r="A1" s="2" t="s">
        <v>359</v>
      </c>
      <c r="B1" s="2"/>
      <c r="C1" s="2"/>
      <c r="D1" s="2"/>
    </row>
    <row r="2" customFormat="false" ht="15" hidden="false" customHeight="true" outlineLevel="0" collapsed="false">
      <c r="A2" s="3" t="s">
        <v>360</v>
      </c>
      <c r="B2" s="3"/>
      <c r="C2" s="3"/>
      <c r="D2" s="3"/>
    </row>
    <row r="3" customFormat="false" ht="3" hidden="false" customHeight="true" outlineLevel="0" collapsed="false">
      <c r="A3" s="4"/>
      <c r="B3" s="4"/>
      <c r="C3" s="4"/>
      <c r="D3" s="4"/>
    </row>
    <row r="4" customFormat="false" ht="15" hidden="false" customHeight="true" outlineLevel="0" collapsed="false">
      <c r="B4" s="5" t="s">
        <v>2</v>
      </c>
      <c r="C4" s="85" t="str">
        <f aca="false">'1·Exec Dashboard'!C5</f>
        <v>Project Atlas — SAP S/4HANA</v>
      </c>
      <c r="D4" s="86" t="n">
        <f aca="true">TODAY()</f>
        <v>46193</v>
      </c>
    </row>
    <row r="6" customFormat="false" ht="19.5" hidden="false" customHeight="true" outlineLevel="0" collapsed="false">
      <c r="B6" s="9" t="s">
        <v>361</v>
      </c>
      <c r="C6" s="9"/>
      <c r="D6" s="9"/>
    </row>
    <row r="7" customFormat="false" ht="15" hidden="false" customHeight="true" outlineLevel="0" collapsed="false">
      <c r="B7" s="5" t="s">
        <v>23</v>
      </c>
      <c r="C7" s="87" t="n">
        <f aca="false">'9·Pattern Dashboard'!F14</f>
        <v>25</v>
      </c>
    </row>
    <row r="8" customFormat="false" ht="15" hidden="false" customHeight="true" outlineLevel="0" collapsed="false">
      <c r="B8" s="5" t="s">
        <v>362</v>
      </c>
      <c r="C8" s="88" t="n">
        <f aca="false">'5·Go-Live Readiness'!C34</f>
        <v>0.453333333333333</v>
      </c>
    </row>
    <row r="9" customFormat="false" ht="15" hidden="false" customHeight="true" outlineLevel="0" collapsed="false">
      <c r="B9" s="5" t="s">
        <v>363</v>
      </c>
      <c r="C9" s="88" t="n">
        <f aca="false">'4·Recovery Actions'!C4</f>
        <v>0.371428571428571</v>
      </c>
    </row>
    <row r="10" customFormat="false" ht="15" hidden="false" customHeight="true" outlineLevel="0" collapsed="false">
      <c r="B10" s="5" t="s">
        <v>364</v>
      </c>
      <c r="C10" s="89" t="n">
        <f aca="false">'8·Financial Exposure'!C22</f>
        <v>7900254.04157044</v>
      </c>
    </row>
    <row r="12" customFormat="false" ht="19.5" hidden="false" customHeight="true" outlineLevel="0" collapsed="false">
      <c r="B12" s="9" t="s">
        <v>365</v>
      </c>
      <c r="C12" s="9"/>
      <c r="D12" s="9"/>
    </row>
    <row r="13" customFormat="false" ht="15" hidden="false" customHeight="true" outlineLevel="0" collapsed="false">
      <c r="B13" s="14" t="s">
        <v>104</v>
      </c>
      <c r="C13" s="14" t="s">
        <v>117</v>
      </c>
      <c r="D13" s="14" t="s">
        <v>111</v>
      </c>
    </row>
    <row r="14" customFormat="false" ht="15" hidden="false" customHeight="true" outlineLevel="0" collapsed="false">
      <c r="B14" s="90" t="str">
        <f aca="false">IFERROR(INDEX('2·RAID Register'!$B$6:$B$200,MATCH(1,'2·RAID Register'!$N$6:$N$200,0)),"—")</f>
        <v>R1</v>
      </c>
      <c r="C14" s="91" t="str">
        <f aca="false">IFERROR(INDEX('2·RAID Register'!$D$6:$D$200,MATCH(1,'2·RAID Register'!$N$6:$N$200,0)),"")</f>
        <v>Data migration: legacy vendor master has 18% duplicate records; cleansing not started</v>
      </c>
      <c r="D14" s="90" t="str">
        <f aca="false">IFERROR(INDEX('2·RAID Register'!$I$6:$I$200,MATCH(1,'2·RAID Register'!$N$6:$N$200,0)),"")</f>
        <v>Data Lead</v>
      </c>
    </row>
    <row r="15" customFormat="false" ht="15" hidden="false" customHeight="true" outlineLevel="0" collapsed="false">
      <c r="B15" s="90" t="str">
        <f aca="false">IFERROR(INDEX('2·RAID Register'!$B$6:$B$200,MATCH(2,'2·RAID Register'!$N$6:$N$200,0)),"—")</f>
        <v>R2</v>
      </c>
      <c r="C15" s="91" t="str">
        <f aca="false">IFERROR(INDEX('2·RAID Register'!$D$6:$D$200,MATCH(2,'2·RAID Register'!$N$6:$N$200,0)),"")</f>
        <v>Only one consultant understands pricing-condition config (Hero Dependency)</v>
      </c>
      <c r="D15" s="90" t="str">
        <f aca="false">IFERROR(INDEX('2·RAID Register'!$I$6:$I$200,MATCH(2,'2·RAID Register'!$N$6:$N$200,0)),"")</f>
        <v>PgM</v>
      </c>
    </row>
    <row r="16" customFormat="false" ht="15" hidden="false" customHeight="true" outlineLevel="0" collapsed="false">
      <c r="B16" s="90" t="str">
        <f aca="false">IFERROR(INDEX('2·RAID Register'!$B$6:$B$200,MATCH(3,'2·RAID Register'!$N$6:$N$200,0)),"—")</f>
        <v>—</v>
      </c>
      <c r="C16" s="91" t="str">
        <f aca="false">IFERROR(INDEX('2·RAID Register'!$D$6:$D$200,MATCH(3,'2·RAID Register'!$N$6:$N$200,0)),"")</f>
        <v/>
      </c>
      <c r="D16" s="90" t="str">
        <f aca="false">IFERROR(INDEX('2·RAID Register'!$I$6:$I$200,MATCH(3,'2·RAID Register'!$N$6:$N$200,0)),"")</f>
        <v/>
      </c>
    </row>
    <row r="17" customFormat="false" ht="15" hidden="false" customHeight="true" outlineLevel="0" collapsed="false">
      <c r="B17" s="90" t="str">
        <f aca="false">IFERROR(INDEX('2·RAID Register'!$B$6:$B$200,MATCH(4,'2·RAID Register'!$N$6:$N$200,0)),"—")</f>
        <v>—</v>
      </c>
      <c r="C17" s="91" t="str">
        <f aca="false">IFERROR(INDEX('2·RAID Register'!$D$6:$D$200,MATCH(4,'2·RAID Register'!$N$6:$N$200,0)),"")</f>
        <v/>
      </c>
      <c r="D17" s="90" t="str">
        <f aca="false">IFERROR(INDEX('2·RAID Register'!$I$6:$I$200,MATCH(4,'2·RAID Register'!$N$6:$N$200,0)),"")</f>
        <v/>
      </c>
    </row>
    <row r="19" customFormat="false" ht="19.5" hidden="false" customHeight="true" outlineLevel="0" collapsed="false">
      <c r="B19" s="9" t="s">
        <v>366</v>
      </c>
      <c r="C19" s="9"/>
      <c r="D19" s="9"/>
    </row>
    <row r="20" customFormat="false" ht="15" hidden="false" customHeight="true" outlineLevel="0" collapsed="false">
      <c r="B20" s="14" t="s">
        <v>104</v>
      </c>
      <c r="C20" s="14" t="s">
        <v>367</v>
      </c>
      <c r="D20" s="14" t="s">
        <v>111</v>
      </c>
    </row>
    <row r="21" customFormat="false" ht="15" hidden="false" customHeight="true" outlineLevel="0" collapsed="false">
      <c r="B21" s="90" t="str">
        <f aca="false">IFERROR(INDEX('3·Decision Log'!$B$6:$B$200,MATCH(1,'3·Decision Log'!$M$6:$M$200,0)),"—")</f>
        <v>D1</v>
      </c>
      <c r="C21" s="91" t="str">
        <f aca="false">IFERROR(INDEX('3·Decision Log'!$C$6:$C$200,MATCH(1,'3·Decision Log'!$M$6:$M$200,0)),"")</f>
        <v>Chart of accounts structure (4-segment vs 6)</v>
      </c>
      <c r="D21" s="90" t="str">
        <f aca="false">IFERROR(INDEX('3·Decision Log'!$D$6:$D$200,MATCH(1,'3·Decision Log'!$M$6:$M$200,0)),"")</f>
        <v>CFO</v>
      </c>
    </row>
    <row r="22" customFormat="false" ht="15" hidden="false" customHeight="true" outlineLevel="0" collapsed="false">
      <c r="B22" s="90" t="str">
        <f aca="false">IFERROR(INDEX('3·Decision Log'!$B$6:$B$200,MATCH(2,'3·Decision Log'!$M$6:$M$200,0)),"—")</f>
        <v>D2</v>
      </c>
      <c r="C22" s="91" t="str">
        <f aca="false">IFERROR(INDEX('3·Decision Log'!$C$6:$C$200,MATCH(2,'3·Decision Log'!$M$6:$M$200,0)),"")</f>
        <v>Single global template vs country localisation</v>
      </c>
      <c r="D22" s="90" t="str">
        <f aca="false">IFERROR(INDEX('3·Decision Log'!$D$6:$D$200,MATCH(2,'3·Decision Log'!$M$6:$M$200,0)),"")</f>
        <v>Sponsor</v>
      </c>
    </row>
    <row r="23" customFormat="false" ht="15" hidden="false" customHeight="true" outlineLevel="0" collapsed="false">
      <c r="B23" s="90" t="str">
        <f aca="false">IFERROR(INDEX('3·Decision Log'!$B$6:$B$200,MATCH(3,'3·Decision Log'!$M$6:$M$200,0)),"—")</f>
        <v>D3</v>
      </c>
      <c r="C23" s="91" t="str">
        <f aca="false">IFERROR(INDEX('3·Decision Log'!$C$6:$C$200,MATCH(3,'3·Decision Log'!$M$6:$M$200,0)),"")</f>
        <v>Go / no-go criteria for cutover</v>
      </c>
      <c r="D23" s="90" t="str">
        <f aca="false">IFERROR(INDEX('3·Decision Log'!$D$6:$D$200,MATCH(3,'3·Decision Log'!$M$6:$M$200,0)),"")</f>
        <v>Steering</v>
      </c>
    </row>
    <row r="24" customFormat="false" ht="15" hidden="false" customHeight="true" outlineLevel="0" collapsed="false">
      <c r="B24" s="90" t="str">
        <f aca="false">IFERROR(INDEX('3·Decision Log'!$B$6:$B$200,MATCH(4,'3·Decision Log'!$M$6:$M$200,0)),"—")</f>
        <v>—</v>
      </c>
      <c r="C24" s="91" t="str">
        <f aca="false">IFERROR(INDEX('3·Decision Log'!$C$6:$C$200,MATCH(4,'3·Decision Log'!$M$6:$M$200,0)),"")</f>
        <v/>
      </c>
      <c r="D24" s="90" t="str">
        <f aca="false">IFERROR(INDEX('3·Decision Log'!$D$6:$D$200,MATCH(4,'3·Decision Log'!$M$6:$M$200,0)),"")</f>
        <v/>
      </c>
    </row>
    <row r="26" customFormat="false" ht="19.5" hidden="false" customHeight="true" outlineLevel="0" collapsed="false">
      <c r="B26" s="9" t="s">
        <v>368</v>
      </c>
      <c r="C26" s="9"/>
      <c r="D26" s="9"/>
    </row>
    <row r="27" customFormat="false" ht="15" hidden="false" customHeight="true" outlineLevel="0" collapsed="false">
      <c r="B27" s="5" t="s">
        <v>369</v>
      </c>
      <c r="C27" s="92" t="str">
        <f aca="false">COUNTIF('4·Recovery Actions'!G7:G200,"Done")&amp;" of "&amp;COUNTA('4·Recovery Actions'!B7:B200)</f>
        <v>0 of 19</v>
      </c>
    </row>
    <row r="28" customFormat="false" ht="15" hidden="false" customHeight="true" outlineLevel="0" collapsed="false">
      <c r="B28" s="5" t="s">
        <v>370</v>
      </c>
      <c r="C28" s="93" t="n">
        <f aca="false">'4·Recovery Actions'!C4</f>
        <v>0.371428571428571</v>
      </c>
    </row>
    <row r="29" customFormat="false" ht="15" hidden="false" customHeight="true" outlineLevel="0" collapsed="false">
      <c r="B29" s="5" t="s">
        <v>330</v>
      </c>
      <c r="C29" s="93" t="n">
        <f aca="false">'6·Stakeholder Heatmap'!C4</f>
        <v>0.55</v>
      </c>
    </row>
    <row r="31" customFormat="false" ht="15" hidden="false" customHeight="true" outlineLevel="0" collapsed="false">
      <c r="B31" s="73" t="s">
        <v>371</v>
      </c>
      <c r="C31" s="73"/>
      <c r="D31" s="73"/>
    </row>
  </sheetData>
  <mergeCells count="8">
    <mergeCell ref="A1:D1"/>
    <mergeCell ref="A2:D2"/>
    <mergeCell ref="A3:D3"/>
    <mergeCell ref="B6:D6"/>
    <mergeCell ref="B12:D12"/>
    <mergeCell ref="B19:D19"/>
    <mergeCell ref="B26:D26"/>
    <mergeCell ref="B31:D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34"/>
    <col collapsed="false" customWidth="true" hidden="false" outlineLevel="0" max="3" min="3" style="1" width="18"/>
    <col collapsed="false" customWidth="true" hidden="false" outlineLevel="0" max="4" min="4" style="1" width="42"/>
  </cols>
  <sheetData>
    <row r="1" customFormat="false" ht="30" hidden="false" customHeight="true" outlineLevel="0" collapsed="false">
      <c r="A1" s="2" t="s">
        <v>372</v>
      </c>
      <c r="B1" s="2"/>
      <c r="C1" s="2"/>
      <c r="D1" s="2"/>
    </row>
    <row r="2" customFormat="false" ht="15" hidden="false" customHeight="true" outlineLevel="0" collapsed="false">
      <c r="A2" s="3" t="s">
        <v>373</v>
      </c>
      <c r="B2" s="3"/>
      <c r="C2" s="3"/>
      <c r="D2" s="3"/>
    </row>
    <row r="3" customFormat="false" ht="3" hidden="false" customHeight="true" outlineLevel="0" collapsed="false">
      <c r="A3" s="4"/>
      <c r="B3" s="4"/>
      <c r="C3" s="4"/>
      <c r="D3" s="4"/>
    </row>
    <row r="4" customFormat="false" ht="15" hidden="false" customHeight="true" outlineLevel="0" collapsed="false">
      <c r="B4" s="5" t="s">
        <v>374</v>
      </c>
      <c r="C4" s="94" t="s">
        <v>375</v>
      </c>
      <c r="D4" s="95" t="s">
        <v>376</v>
      </c>
    </row>
    <row r="6" customFormat="false" ht="19.5" hidden="false" customHeight="true" outlineLevel="0" collapsed="false">
      <c r="B6" s="9" t="s">
        <v>377</v>
      </c>
      <c r="C6" s="9"/>
      <c r="D6" s="9"/>
    </row>
    <row r="7" customFormat="false" ht="15" hidden="false" customHeight="true" outlineLevel="0" collapsed="false">
      <c r="B7" s="15" t="s">
        <v>378</v>
      </c>
      <c r="C7" s="96" t="n">
        <v>15</v>
      </c>
    </row>
    <row r="8" customFormat="false" ht="21.75" hidden="false" customHeight="true" outlineLevel="0" collapsed="false">
      <c r="B8" s="15" t="s">
        <v>379</v>
      </c>
      <c r="C8" s="97" t="n">
        <v>0.0125</v>
      </c>
    </row>
    <row r="9" customFormat="false" ht="15" hidden="false" customHeight="true" outlineLevel="0" collapsed="false">
      <c r="B9" s="15" t="s">
        <v>380</v>
      </c>
      <c r="C9" s="98" t="n">
        <v>12</v>
      </c>
    </row>
    <row r="10" customFormat="false" ht="15" hidden="false" customHeight="true" outlineLevel="0" collapsed="false">
      <c r="B10" s="15" t="s">
        <v>381</v>
      </c>
      <c r="C10" s="99" t="n">
        <v>18000</v>
      </c>
    </row>
    <row r="11" customFormat="false" ht="15" hidden="false" customHeight="true" outlineLevel="0" collapsed="false">
      <c r="B11" s="15" t="s">
        <v>382</v>
      </c>
      <c r="C11" s="98" t="n">
        <v>240</v>
      </c>
    </row>
    <row r="12" customFormat="false" ht="15" hidden="false" customHeight="true" outlineLevel="0" collapsed="false">
      <c r="B12" s="15" t="s">
        <v>383</v>
      </c>
      <c r="C12" s="96" t="n">
        <v>6</v>
      </c>
    </row>
    <row r="13" customFormat="false" ht="15" hidden="false" customHeight="true" outlineLevel="0" collapsed="false">
      <c r="B13" s="15" t="s">
        <v>384</v>
      </c>
      <c r="C13" s="100" t="n">
        <v>0.08</v>
      </c>
    </row>
    <row r="14" customFormat="false" ht="15" hidden="false" customHeight="true" outlineLevel="0" collapsed="false">
      <c r="B14" s="15" t="s">
        <v>385</v>
      </c>
      <c r="C14" s="99" t="n">
        <v>450000</v>
      </c>
    </row>
    <row r="16" customFormat="false" ht="19.5" hidden="false" customHeight="true" outlineLevel="0" collapsed="false">
      <c r="B16" s="9" t="s">
        <v>386</v>
      </c>
      <c r="C16" s="9"/>
      <c r="D16" s="9"/>
    </row>
    <row r="17" customFormat="false" ht="15" hidden="false" customHeight="true" outlineLevel="0" collapsed="false">
      <c r="B17" s="15" t="s">
        <v>387</v>
      </c>
      <c r="C17" s="101" t="n">
        <f aca="false">C7*1000000*C8*C9</f>
        <v>2250000</v>
      </c>
    </row>
    <row r="18" customFormat="false" ht="15" hidden="false" customHeight="true" outlineLevel="0" collapsed="false">
      <c r="B18" s="15" t="s">
        <v>388</v>
      </c>
      <c r="C18" s="101" t="n">
        <f aca="false">C10*C11</f>
        <v>4320000</v>
      </c>
    </row>
    <row r="19" customFormat="false" ht="21.75" hidden="false" customHeight="true" outlineLevel="0" collapsed="false">
      <c r="B19" s="15" t="s">
        <v>389</v>
      </c>
      <c r="C19" s="101" t="n">
        <f aca="false">(C9/4.33)*(C12*1000000*C13)</f>
        <v>1330254.04157044</v>
      </c>
    </row>
    <row r="20" customFormat="false" ht="15" hidden="false" customHeight="true" outlineLevel="0" collapsed="false">
      <c r="B20" s="15" t="s">
        <v>390</v>
      </c>
      <c r="C20" s="101" t="n">
        <f aca="false">C14</f>
        <v>450000</v>
      </c>
    </row>
    <row r="22" customFormat="false" ht="23.25" hidden="false" customHeight="true" outlineLevel="0" collapsed="false">
      <c r="B22" s="102" t="s">
        <v>391</v>
      </c>
      <c r="C22" s="103" t="n">
        <f aca="false">C17+C18+C19</f>
        <v>7900254.04157044</v>
      </c>
    </row>
    <row r="24" customFormat="false" ht="21.75" hidden="false" customHeight="true" outlineLevel="0" collapsed="false">
      <c r="B24" s="104" t="s">
        <v>392</v>
      </c>
      <c r="C24" s="105" t="n">
        <f aca="false">IFERROR((C17+C18+C19)/C20,0)</f>
        <v>17.5561200923788</v>
      </c>
    </row>
    <row r="25" customFormat="false" ht="15" hidden="false" customHeight="true" outlineLevel="0" collapsed="false">
      <c r="B25" s="106" t="s">
        <v>393</v>
      </c>
      <c r="C25" s="106"/>
      <c r="D25" s="106"/>
    </row>
    <row r="27" customFormat="false" ht="18.75" hidden="false" customHeight="true" outlineLevel="0" collapsed="false">
      <c r="B27" s="107" t="s">
        <v>394</v>
      </c>
      <c r="C27" s="107"/>
      <c r="D27" s="107"/>
    </row>
  </sheetData>
  <mergeCells count="7">
    <mergeCell ref="A1:D1"/>
    <mergeCell ref="A2:D2"/>
    <mergeCell ref="A3:D3"/>
    <mergeCell ref="B6:D6"/>
    <mergeCell ref="B16:D16"/>
    <mergeCell ref="B25:D25"/>
    <mergeCell ref="B27:D27"/>
  </mergeCells>
  <dataValidations count="1">
    <dataValidation allowBlank="false" errorStyle="stop" operator="between" showDropDown="false" showErrorMessage="false" showInputMessage="false" sqref="C4" type="list">
      <formula1>"USD,GBP,EUR,INR,AED"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5" min="3" style="1" width="7"/>
    <col collapsed="false" customWidth="true" hidden="false" outlineLevel="0" max="6" min="6" style="1" width="8"/>
    <col collapsed="false" customWidth="true" hidden="false" outlineLevel="0" max="7" min="7" style="1" width="13"/>
    <col collapsed="false" customWidth="true" hidden="false" outlineLevel="0" max="8" min="8" style="1" width="11"/>
    <col collapsed="false" customWidth="true" hidden="false" outlineLevel="0" max="9" min="9" style="1" width="7"/>
    <col collapsed="false" customWidth="true" hidden="false" outlineLevel="0" max="10" min="10" style="1" width="9"/>
    <col collapsed="false" customWidth="true" hidden="false" outlineLevel="0" max="11" min="11" style="1" width="7"/>
    <col collapsed="false" customWidth="true" hidden="false" outlineLevel="0" max="12" min="12" style="1" width="9"/>
    <col collapsed="false" customWidth="true" hidden="false" outlineLevel="0" max="13" min="13" style="1" width="42"/>
    <col collapsed="false" customWidth="true" hidden="false" outlineLevel="0" max="14" min="14" style="1" width="3"/>
  </cols>
  <sheetData>
    <row r="1" customFormat="false" ht="30" hidden="false" customHeight="true" outlineLevel="0" collapsed="false">
      <c r="A1" s="51" t="s">
        <v>395</v>
      </c>
      <c r="B1" s="51"/>
      <c r="C1" s="51"/>
      <c r="D1" s="51"/>
      <c r="E1" s="51"/>
      <c r="F1" s="51"/>
      <c r="G1" s="51"/>
      <c r="H1" s="51"/>
      <c r="I1" s="51"/>
      <c r="J1" s="51"/>
      <c r="K1" s="51"/>
      <c r="L1" s="51"/>
      <c r="M1" s="51"/>
    </row>
    <row r="2" customFormat="false" ht="15.75" hidden="false" customHeight="true" outlineLevel="0" collapsed="false">
      <c r="A2" s="52" t="s">
        <v>396</v>
      </c>
      <c r="B2" s="52"/>
      <c r="C2" s="52"/>
      <c r="D2" s="52"/>
      <c r="E2" s="52"/>
      <c r="F2" s="52"/>
      <c r="G2" s="52"/>
      <c r="H2" s="52"/>
      <c r="I2" s="52"/>
      <c r="J2" s="52"/>
      <c r="K2" s="52"/>
      <c r="L2" s="52"/>
      <c r="M2" s="52"/>
    </row>
    <row r="4" customFormat="false" ht="15" hidden="false" customHeight="true" outlineLevel="0" collapsed="false">
      <c r="B4" s="107" t="s">
        <v>397</v>
      </c>
      <c r="C4" s="107"/>
      <c r="D4" s="107"/>
      <c r="E4" s="107"/>
      <c r="F4" s="107"/>
      <c r="G4" s="107"/>
      <c r="H4" s="107"/>
      <c r="I4" s="107"/>
      <c r="J4" s="107"/>
      <c r="K4" s="107"/>
      <c r="L4" s="107"/>
      <c r="M4" s="107"/>
    </row>
    <row r="6" customFormat="false" ht="25.5" hidden="false" customHeight="true" outlineLevel="0" collapsed="false">
      <c r="B6" s="59" t="s">
        <v>398</v>
      </c>
      <c r="C6" s="59" t="s">
        <v>18</v>
      </c>
      <c r="D6" s="59" t="s">
        <v>19</v>
      </c>
      <c r="E6" s="59" t="s">
        <v>20</v>
      </c>
      <c r="F6" s="59" t="s">
        <v>399</v>
      </c>
      <c r="G6" s="59" t="s">
        <v>400</v>
      </c>
      <c r="H6" s="59" t="s">
        <v>401</v>
      </c>
      <c r="I6" s="59" t="s">
        <v>402</v>
      </c>
      <c r="J6" s="59" t="s">
        <v>403</v>
      </c>
      <c r="K6" s="59" t="s">
        <v>404</v>
      </c>
      <c r="L6" s="59" t="s">
        <v>405</v>
      </c>
      <c r="M6" s="59" t="s">
        <v>406</v>
      </c>
    </row>
    <row r="7" customFormat="false" ht="33.75" hidden="false" customHeight="true" outlineLevel="0" collapsed="false">
      <c r="B7" s="108" t="s">
        <v>38</v>
      </c>
      <c r="C7" s="109" t="n">
        <v>95</v>
      </c>
      <c r="D7" s="109" t="n">
        <v>92</v>
      </c>
      <c r="E7" s="109" t="n">
        <v>90</v>
      </c>
      <c r="F7" s="110" t="n">
        <v>90</v>
      </c>
      <c r="G7" s="69" t="str">
        <f aca="false">IF(F7&lt;C7,"▼ improving",IF(F7&gt;C7,"▲ worsening","= flat"))</f>
        <v>▼ improving</v>
      </c>
      <c r="H7" s="69" t="str">
        <f aca="false">IF(F7&gt;=75,"CRITICAL",IF(F7&gt;=50,"ELEVATED",IF(F7&gt;=25,"WATCH","HEALTHY")))</f>
        <v>CRITICAL</v>
      </c>
      <c r="I7" s="111" t="n">
        <f aca="false">COUNTIFS('2·RAID Register'!$L$6:$L$200,"Hero Dependency",'2·RAID Register'!$C$6:$C$200,"Risk",'2·RAID Register'!$H$6:$H$200,"Open")</f>
        <v>1</v>
      </c>
      <c r="J7" s="111" t="n">
        <f aca="false">COUNTIFS('3·Decision Log'!$L$6:$L$200,"Hero Dependency",'3·Decision Log'!$I$6:$I$200,"Open")</f>
        <v>0</v>
      </c>
      <c r="K7" s="111" t="n">
        <f aca="false">COUNTIF('6·Stakeholder Heatmap'!$I$6:$I$100,"Hero Dependency")</f>
        <v>1</v>
      </c>
      <c r="L7" s="111" t="n">
        <f aca="false">COUNTIF('4·Recovery Actions'!$K$7:$K$200,"Hero Dependency")</f>
        <v>4</v>
      </c>
      <c r="M7" s="32" t="s">
        <v>407</v>
      </c>
    </row>
    <row r="8" customFormat="false" ht="33.75" hidden="false" customHeight="true" outlineLevel="0" collapsed="false">
      <c r="B8" s="108" t="s">
        <v>41</v>
      </c>
      <c r="C8" s="109" t="n">
        <v>88</v>
      </c>
      <c r="D8" s="109" t="n">
        <v>85</v>
      </c>
      <c r="E8" s="109" t="n">
        <v>80</v>
      </c>
      <c r="F8" s="110" t="n">
        <v>80</v>
      </c>
      <c r="G8" s="69" t="str">
        <f aca="false">IF(F8&lt;C8,"▼ improving",IF(F8&gt;C8,"▲ worsening","= flat"))</f>
        <v>▼ improving</v>
      </c>
      <c r="H8" s="69" t="str">
        <f aca="false">IF(F8&gt;=75,"CRITICAL",IF(F8&gt;=50,"ELEVATED",IF(F8&gt;=25,"WATCH","HEALTHY")))</f>
        <v>CRITICAL</v>
      </c>
      <c r="I8" s="111" t="n">
        <f aca="false">COUNTIFS('2·RAID Register'!$L$6:$L$200,"Death By Governance",'2·RAID Register'!$C$6:$C$200,"Risk",'2·RAID Register'!$H$6:$H$200,"Open")</f>
        <v>1</v>
      </c>
      <c r="J8" s="111" t="n">
        <f aca="false">COUNTIFS('3·Decision Log'!$L$6:$L$200,"Death By Governance",'3·Decision Log'!$I$6:$I$200,"Open")</f>
        <v>0</v>
      </c>
      <c r="K8" s="111" t="n">
        <f aca="false">COUNTIF('6·Stakeholder Heatmap'!$I$6:$I$100,"Death By Governance")</f>
        <v>0</v>
      </c>
      <c r="L8" s="111" t="n">
        <f aca="false">COUNTIF('4·Recovery Actions'!$K$7:$K$200,"Death By Governance")</f>
        <v>3</v>
      </c>
      <c r="M8" s="32" t="s">
        <v>408</v>
      </c>
    </row>
    <row r="9" customFormat="false" ht="33.75" hidden="false" customHeight="true" outlineLevel="0" collapsed="false">
      <c r="B9" s="108" t="s">
        <v>44</v>
      </c>
      <c r="C9" s="109" t="n">
        <v>85</v>
      </c>
      <c r="D9" s="109" t="n">
        <v>82</v>
      </c>
      <c r="E9" s="109" t="n">
        <v>78</v>
      </c>
      <c r="F9" s="110" t="n">
        <v>78</v>
      </c>
      <c r="G9" s="69" t="str">
        <f aca="false">IF(F9&lt;C9,"▼ improving",IF(F9&gt;C9,"▲ worsening","= flat"))</f>
        <v>▼ improving</v>
      </c>
      <c r="H9" s="69" t="str">
        <f aca="false">IF(F9&gt;=75,"CRITICAL",IF(F9&gt;=50,"ELEVATED",IF(F9&gt;=25,"WATCH","HEALTHY")))</f>
        <v>CRITICAL</v>
      </c>
      <c r="I9" s="111" t="n">
        <f aca="false">COUNTIFS('2·RAID Register'!$L$6:$L$200,"Nobody Wants To Decide",'2·RAID Register'!$C$6:$C$200,"Risk",'2·RAID Register'!$H$6:$H$200,"Open")</f>
        <v>0</v>
      </c>
      <c r="J9" s="111" t="n">
        <f aca="false">COUNTIFS('3·Decision Log'!$L$6:$L$200,"Nobody Wants To Decide",'3·Decision Log'!$I$6:$I$200,"Open")</f>
        <v>3</v>
      </c>
      <c r="K9" s="111" t="n">
        <f aca="false">COUNTIF('6·Stakeholder Heatmap'!$I$6:$I$100,"Nobody Wants To Decide")</f>
        <v>1</v>
      </c>
      <c r="L9" s="111" t="n">
        <f aca="false">COUNTIF('4·Recovery Actions'!$K$7:$K$200,"Nobody Wants To Decide")</f>
        <v>3</v>
      </c>
      <c r="M9" s="32" t="s">
        <v>409</v>
      </c>
    </row>
    <row r="10" customFormat="false" ht="33.75" hidden="false" customHeight="true" outlineLevel="0" collapsed="false">
      <c r="B10" s="108" t="s">
        <v>47</v>
      </c>
      <c r="C10" s="109" t="n">
        <v>70</v>
      </c>
      <c r="D10" s="109" t="n">
        <v>68</v>
      </c>
      <c r="E10" s="109" t="n">
        <v>67</v>
      </c>
      <c r="F10" s="110" t="n">
        <v>67</v>
      </c>
      <c r="G10" s="69" t="str">
        <f aca="false">IF(F10&lt;C10,"▼ improving",IF(F10&gt;C10,"▲ worsening","= flat"))</f>
        <v>▼ improving</v>
      </c>
      <c r="H10" s="69" t="str">
        <f aca="false">IF(F10&gt;=75,"CRITICAL",IF(F10&gt;=50,"ELEVATED",IF(F10&gt;=25,"WATCH","HEALTHY")))</f>
        <v>ELEVATED</v>
      </c>
      <c r="I10" s="111" t="n">
        <f aca="false">COUNTIFS('2·RAID Register'!$L$6:$L$200,"Silent Resistance",'2·RAID Register'!$C$6:$C$200,"Risk",'2·RAID Register'!$H$6:$H$200,"Open")</f>
        <v>1</v>
      </c>
      <c r="J10" s="111" t="n">
        <f aca="false">COUNTIFS('3·Decision Log'!$L$6:$L$200,"Silent Resistance",'3·Decision Log'!$I$6:$I$200,"Open")</f>
        <v>0</v>
      </c>
      <c r="K10" s="111" t="n">
        <f aca="false">COUNTIF('6·Stakeholder Heatmap'!$I$6:$I$100,"Silent Resistance")</f>
        <v>2</v>
      </c>
      <c r="L10" s="111" t="n">
        <f aca="false">COUNTIF('4·Recovery Actions'!$K$7:$K$200,"Silent Resistance")</f>
        <v>3</v>
      </c>
      <c r="M10" s="32" t="s">
        <v>410</v>
      </c>
    </row>
    <row r="11" customFormat="false" ht="33.75" hidden="false" customHeight="true" outlineLevel="0" collapsed="false">
      <c r="B11" s="108" t="s">
        <v>411</v>
      </c>
      <c r="C11" s="109" t="n">
        <v>30</v>
      </c>
      <c r="D11" s="109" t="n">
        <v>33</v>
      </c>
      <c r="E11" s="109" t="n">
        <v>38</v>
      </c>
      <c r="F11" s="110" t="n">
        <v>38</v>
      </c>
      <c r="G11" s="69" t="str">
        <f aca="false">IF(F11&gt;C11,"▲ improving",IF(F11&lt;C11,"▼ eroding","= flat"))</f>
        <v>▲ improving</v>
      </c>
      <c r="H11" s="69" t="str">
        <f aca="false">IF(F11&gt;=75,"STRONG",IF(F11&gt;=50,"MODERATE",IF(F11&gt;=25,"WEAK","CRITICAL")))</f>
        <v>WEAK</v>
      </c>
      <c r="I11" s="111" t="n">
        <f aca="false">COUNTIFS('2·RAID Register'!$L$6:$L$200,"Builder Culture",'2·RAID Register'!$C$6:$C$200,"Risk",'2·RAID Register'!$H$6:$H$200,"Open")</f>
        <v>0</v>
      </c>
      <c r="J11" s="111" t="n">
        <f aca="false">COUNTIFS('3·Decision Log'!$L$6:$L$200,"Builder Culture",'3·Decision Log'!$I$6:$I$200,"Open")</f>
        <v>0</v>
      </c>
      <c r="K11" s="111" t="n">
        <f aca="false">COUNTIF('6·Stakeholder Heatmap'!$I$6:$I$100,"Builder Culture")</f>
        <v>1</v>
      </c>
      <c r="L11" s="111" t="n">
        <f aca="false">COUNTIF('4·Recovery Actions'!$K$7:$K$200,"Builder Culture")</f>
        <v>1</v>
      </c>
      <c r="M11" s="32" t="s">
        <v>412</v>
      </c>
    </row>
    <row r="13" customFormat="false" ht="19.5" hidden="false" customHeight="true" outlineLevel="0" collapsed="false">
      <c r="B13" s="27" t="s">
        <v>413</v>
      </c>
      <c r="C13" s="27"/>
      <c r="D13" s="27"/>
      <c r="E13" s="27"/>
      <c r="F13" s="27"/>
      <c r="G13" s="27"/>
      <c r="H13" s="27"/>
      <c r="I13" s="27"/>
      <c r="J13" s="27"/>
      <c r="K13" s="27"/>
      <c r="L13" s="27"/>
      <c r="M13" s="27"/>
    </row>
    <row r="14" customFormat="false" ht="17.25" hidden="false" customHeight="true" outlineLevel="0" collapsed="false">
      <c r="B14" s="108" t="s">
        <v>414</v>
      </c>
      <c r="C14" s="112"/>
      <c r="D14" s="112"/>
      <c r="E14" s="112"/>
      <c r="F14" s="113" t="n">
        <f aca="false">ROUND(AVERAGE(100-F7,100-F8,100-F9,100-F10,F11),0)</f>
        <v>25</v>
      </c>
      <c r="G14" s="114" t="s">
        <v>415</v>
      </c>
      <c r="H14" s="114"/>
      <c r="I14" s="114"/>
      <c r="J14" s="114"/>
      <c r="K14" s="114"/>
      <c r="L14" s="114"/>
      <c r="M14" s="114"/>
    </row>
    <row r="16" customFormat="false" ht="19.5" hidden="false" customHeight="true" outlineLevel="0" collapsed="false">
      <c r="B16" s="34" t="s">
        <v>416</v>
      </c>
      <c r="C16" s="34"/>
      <c r="D16" s="34"/>
      <c r="E16" s="34"/>
      <c r="F16" s="34"/>
      <c r="G16" s="34"/>
      <c r="H16" s="34"/>
      <c r="I16" s="34"/>
      <c r="J16" s="34"/>
      <c r="K16" s="34"/>
      <c r="L16" s="34"/>
      <c r="M16" s="34"/>
    </row>
    <row r="17" customFormat="false" ht="15" hidden="false" customHeight="true" outlineLevel="0" collapsed="false">
      <c r="B17" s="62" t="s">
        <v>417</v>
      </c>
      <c r="C17" s="112"/>
      <c r="D17" s="112"/>
      <c r="E17" s="112"/>
      <c r="F17" s="110" t="n">
        <f aca="false">F14</f>
        <v>25</v>
      </c>
      <c r="G17" s="114" t="s">
        <v>418</v>
      </c>
      <c r="H17" s="114"/>
      <c r="I17" s="114"/>
      <c r="J17" s="114"/>
      <c r="K17" s="114"/>
      <c r="L17" s="114"/>
      <c r="M17" s="114"/>
    </row>
    <row r="18" customFormat="false" ht="21.75" hidden="false" customHeight="true" outlineLevel="0" collapsed="false">
      <c r="B18" s="62" t="s">
        <v>419</v>
      </c>
      <c r="C18" s="112"/>
      <c r="D18" s="112"/>
      <c r="E18" s="112"/>
      <c r="F18" s="115" t="n">
        <f aca="false">SUM('4·Recovery Actions'!$J$7:$J$200)</f>
        <v>69</v>
      </c>
      <c r="G18" s="114" t="s">
        <v>420</v>
      </c>
      <c r="H18" s="114"/>
      <c r="I18" s="114"/>
      <c r="J18" s="114"/>
      <c r="K18" s="114"/>
      <c r="L18" s="114"/>
      <c r="M18" s="114"/>
    </row>
    <row r="19" customFormat="false" ht="18" hidden="false" customHeight="true" outlineLevel="0" collapsed="false">
      <c r="B19" s="108" t="s">
        <v>421</v>
      </c>
      <c r="C19" s="112"/>
      <c r="D19" s="112"/>
      <c r="E19" s="112"/>
      <c r="F19" s="116" t="n">
        <f aca="false">MIN(100,F17+F18)</f>
        <v>94</v>
      </c>
      <c r="G19" s="114" t="s">
        <v>422</v>
      </c>
      <c r="H19" s="114"/>
      <c r="I19" s="114"/>
      <c r="J19" s="114"/>
      <c r="K19" s="114"/>
      <c r="L19" s="114"/>
      <c r="M19" s="114"/>
    </row>
    <row r="21" customFormat="false" ht="15" hidden="false" customHeight="true" outlineLevel="0" collapsed="false">
      <c r="B21" s="117" t="s">
        <v>423</v>
      </c>
      <c r="C21" s="117"/>
      <c r="D21" s="117"/>
      <c r="E21" s="117"/>
      <c r="F21" s="117"/>
      <c r="G21" s="117"/>
      <c r="H21" s="117"/>
      <c r="I21" s="117"/>
      <c r="J21" s="117"/>
      <c r="K21" s="117"/>
      <c r="L21" s="117"/>
      <c r="M21" s="117"/>
    </row>
    <row r="22" customFormat="false" ht="24" hidden="false" customHeight="true" outlineLevel="0" collapsed="false">
      <c r="B22" s="118" t="s">
        <v>424</v>
      </c>
      <c r="C22" s="118"/>
      <c r="D22" s="118"/>
      <c r="E22" s="118"/>
      <c r="F22" s="118"/>
      <c r="G22" s="118"/>
      <c r="H22" s="118"/>
      <c r="I22" s="118"/>
      <c r="J22" s="118"/>
      <c r="K22" s="118"/>
      <c r="L22" s="118"/>
      <c r="M22" s="118"/>
    </row>
    <row r="23" customFormat="false" ht="24" hidden="false" customHeight="true" outlineLevel="0" collapsed="false">
      <c r="B23" s="118" t="s">
        <v>425</v>
      </c>
      <c r="C23" s="118"/>
      <c r="D23" s="118"/>
      <c r="E23" s="118"/>
      <c r="F23" s="118"/>
      <c r="G23" s="118"/>
      <c r="H23" s="118"/>
      <c r="I23" s="118"/>
      <c r="J23" s="118"/>
      <c r="K23" s="118"/>
      <c r="L23" s="118"/>
      <c r="M23" s="118"/>
    </row>
    <row r="24" customFormat="false" ht="24" hidden="false" customHeight="true" outlineLevel="0" collapsed="false">
      <c r="B24" s="118" t="s">
        <v>426</v>
      </c>
      <c r="C24" s="118"/>
      <c r="D24" s="118"/>
      <c r="E24" s="118"/>
      <c r="F24" s="118"/>
      <c r="G24" s="118"/>
      <c r="H24" s="118"/>
      <c r="I24" s="118"/>
      <c r="J24" s="118"/>
      <c r="K24" s="118"/>
      <c r="L24" s="118"/>
      <c r="M24" s="118"/>
    </row>
    <row r="25" customFormat="false" ht="24" hidden="false" customHeight="true" outlineLevel="0" collapsed="false">
      <c r="B25" s="118" t="s">
        <v>427</v>
      </c>
      <c r="C25" s="118"/>
      <c r="D25" s="118"/>
      <c r="E25" s="118"/>
      <c r="F25" s="118"/>
      <c r="G25" s="118"/>
      <c r="H25" s="118"/>
      <c r="I25" s="118"/>
      <c r="J25" s="118"/>
      <c r="K25" s="118"/>
      <c r="L25" s="118"/>
      <c r="M25" s="118"/>
    </row>
  </sheetData>
  <mergeCells count="14">
    <mergeCell ref="A1:M1"/>
    <mergeCell ref="A2:M2"/>
    <mergeCell ref="B4:M4"/>
    <mergeCell ref="B13:M13"/>
    <mergeCell ref="G14:M14"/>
    <mergeCell ref="B16:M16"/>
    <mergeCell ref="G17:M17"/>
    <mergeCell ref="G18:M18"/>
    <mergeCell ref="G19:M19"/>
    <mergeCell ref="B21:M21"/>
    <mergeCell ref="B22:M22"/>
    <mergeCell ref="B23:M23"/>
    <mergeCell ref="B24:M24"/>
    <mergeCell ref="B25:M25"/>
  </mergeCells>
  <conditionalFormatting sqref="F7:F10">
    <cfRule type="cellIs" priority="2" operator="greaterThanOrEqual" aboveAverage="0" equalAverage="0" bottom="0" percent="0" rank="0" text="" dxfId="25">
      <formula>75</formula>
    </cfRule>
    <cfRule type="cellIs" priority="3" operator="between" aboveAverage="0" equalAverage="0" bottom="0" percent="0" rank="0" text="" dxfId="26">
      <formula>50</formula>
      <formula>74</formula>
    </cfRule>
    <cfRule type="cellIs" priority="4" operator="between" aboveAverage="0" equalAverage="0" bottom="0" percent="0" rank="0" text="" dxfId="27">
      <formula>25</formula>
      <formula>49</formula>
    </cfRule>
  </conditionalFormatting>
  <conditionalFormatting sqref="F11">
    <cfRule type="cellIs" priority="5" operator="lessThan" aboveAverage="0" equalAverage="0" bottom="0" percent="0" rank="0" text="" dxfId="25">
      <formula>50</formula>
    </cfRule>
  </conditionalFormatting>
  <conditionalFormatting sqref="H7:H11">
    <cfRule type="cellIs" priority="6" operator="equal" aboveAverage="0" equalAverage="0" bottom="0" percent="0" rank="0" text="" dxfId="21">
      <formula>"CRITICAL"</formula>
    </cfRule>
    <cfRule type="cellIs" priority="7" operator="equal" aboveAverage="0" equalAverage="0" bottom="0" percent="0" rank="0" text="" dxfId="28">
      <formula>"ELEVATED"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2026-06-19T10:32:53Z</dcterms:created>
  <dc:creator>openpyxl</dc:creator>
  <dc:description/>
  <dc:language>en-US</dc:language>
  <cp:lastModifiedBy/>
  <dcterms:modified xsi:type="dcterms:W3CDTF">2026-06-20T03:39:06Z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